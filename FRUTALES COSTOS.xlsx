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BASICA" sheetId="1" r:id="rId4"/>
    <sheet state="visible" name="Costeo General" sheetId="2" r:id="rId5"/>
    <sheet state="visible" name="Rubro Mano de Obra" sheetId="3" r:id="rId6"/>
    <sheet state="visible" name="Copy of Rubro Insumos" sheetId="4" r:id="rId7"/>
    <sheet state="visible" name="Rubro Maquinaria - Servicio" sheetId="5" r:id="rId8"/>
    <sheet state="visible" name="Proyeccion" sheetId="6" r:id="rId9"/>
    <sheet state="visible" name="Indicador economico" sheetId="7" r:id="rId10"/>
    <sheet state="visible" name="x" sheetId="8" r:id="rId11"/>
  </sheets>
  <definedNames/>
  <calcPr/>
  <extLst>
    <ext uri="GoogleSheetsCustomDataVersion2">
      <go:sheetsCustomData xmlns:go="http://customooxmlschemas.google.com/" r:id="rId12" roundtripDataChecksum="9mx2yCoCbxntSzA20bgxhS1XbjiTbRBzZLq7w7OWOxY="/>
    </ext>
  </extLst>
</workbook>
</file>

<file path=xl/sharedStrings.xml><?xml version="1.0" encoding="utf-8"?>
<sst xmlns="http://schemas.openxmlformats.org/spreadsheetml/2006/main" count="938" uniqueCount="237">
  <si>
    <t>CULTIVO</t>
  </si>
  <si>
    <t>ARANDANO</t>
  </si>
  <si>
    <t>DPTO. - PROV.</t>
  </si>
  <si>
    <t>LAREDO</t>
  </si>
  <si>
    <t>VARIEDAD</t>
  </si>
  <si>
    <t>Biloxi</t>
  </si>
  <si>
    <t>SIST. RIEGO</t>
  </si>
  <si>
    <t>GOTEO</t>
  </si>
  <si>
    <t>PERIOD. VEGETATIVO</t>
  </si>
  <si>
    <t>1 año aprox</t>
  </si>
  <si>
    <t>EPOCA  CULTIVO</t>
  </si>
  <si>
    <t>Octubre - Marzo</t>
  </si>
  <si>
    <t>DISTANCIAMIENTO SURCOS (m)</t>
  </si>
  <si>
    <t>DENSIDAD POBLACIONAL</t>
  </si>
  <si>
    <t>DISTANCIAMIENTO ENTRE PL (m)</t>
  </si>
  <si>
    <t>MONEDA</t>
  </si>
  <si>
    <t>DOLARES</t>
  </si>
  <si>
    <t>NIVEL TECNOLOGICO</t>
  </si>
  <si>
    <t xml:space="preserve">MEDIO </t>
  </si>
  <si>
    <t>ÁREA DE SIEMBRA</t>
  </si>
  <si>
    <t>1 ha</t>
  </si>
  <si>
    <t>Producción (Tn/ha)</t>
  </si>
  <si>
    <t>CAMPAÑA AGRÍCOLA</t>
  </si>
  <si>
    <t>7 Meses</t>
  </si>
  <si>
    <r>
      <rPr>
        <rFont val="Arial"/>
        <b/>
        <color theme="0"/>
        <sz val="14.0"/>
      </rPr>
      <t xml:space="preserve">                      </t>
    </r>
    <r>
      <rPr>
        <rFont val="Arial"/>
        <b/>
        <color rgb="FFFFFFFF"/>
        <sz val="14.0"/>
      </rPr>
      <t xml:space="preserve"> HOJA DE DATOS BÁSICOS </t>
    </r>
  </si>
  <si>
    <t>CONCEPTOS</t>
  </si>
  <si>
    <t>CLASIFICACIÓN</t>
  </si>
  <si>
    <t>VALOR UNITARIO</t>
  </si>
  <si>
    <t>VALOR UNITARIO(DOLARES)</t>
  </si>
  <si>
    <t>Unidad</t>
  </si>
  <si>
    <t>Mano de Obra</t>
  </si>
  <si>
    <t>Costo variable</t>
  </si>
  <si>
    <t>Jornal</t>
  </si>
  <si>
    <t>PREPARACIÓN DE TERRENO</t>
  </si>
  <si>
    <t>Limpieza de campo</t>
  </si>
  <si>
    <t>ha</t>
  </si>
  <si>
    <t>Trasplante</t>
  </si>
  <si>
    <t>Tarea</t>
  </si>
  <si>
    <t>Riego</t>
  </si>
  <si>
    <t>Resiembra</t>
  </si>
  <si>
    <t>COSECHA</t>
  </si>
  <si>
    <t>Guardiania</t>
  </si>
  <si>
    <t>Costo fijo</t>
  </si>
  <si>
    <t>Dia</t>
  </si>
  <si>
    <t>Personal Cosechador</t>
  </si>
  <si>
    <t>Costo Variable</t>
  </si>
  <si>
    <t>LABORES CULTURALES</t>
  </si>
  <si>
    <t>Fumigacion personal</t>
  </si>
  <si>
    <t>Ha</t>
  </si>
  <si>
    <t>Limpieza de canales o acequias</t>
  </si>
  <si>
    <t>Deshierbo personal</t>
  </si>
  <si>
    <t>Riego personal</t>
  </si>
  <si>
    <t>Maquinaria</t>
  </si>
  <si>
    <t>Mochila Fumigadora</t>
  </si>
  <si>
    <t>Hora</t>
  </si>
  <si>
    <t>Tijeras</t>
  </si>
  <si>
    <t>Equipo:</t>
  </si>
  <si>
    <t>Bomba de mochila palanca</t>
  </si>
  <si>
    <t>Fertilizantes:</t>
  </si>
  <si>
    <t>MACRONUTRIENTES</t>
  </si>
  <si>
    <t>1kg</t>
  </si>
  <si>
    <t>MICRONUTRIENTES</t>
  </si>
  <si>
    <t>OTROS( CALCIO-BORO)</t>
  </si>
  <si>
    <t>Otros</t>
  </si>
  <si>
    <t>Agua</t>
  </si>
  <si>
    <t>Campaña</t>
  </si>
  <si>
    <t>Alquiler del terreno</t>
  </si>
  <si>
    <t>Pasajes</t>
  </si>
  <si>
    <t>Densidad de plantas (Ha)</t>
  </si>
  <si>
    <t>Total de Macetas</t>
  </si>
  <si>
    <t>TOTAL</t>
  </si>
  <si>
    <t>Nuestra area</t>
  </si>
  <si>
    <t>metros cuadrados</t>
  </si>
  <si>
    <t>Mes - Setiembre</t>
  </si>
  <si>
    <t>Tipo de Cambio</t>
  </si>
  <si>
    <t>MES - SEPTIEMBRE</t>
  </si>
  <si>
    <t>Semana( Lunes- Viernes)</t>
  </si>
  <si>
    <t>Rubro</t>
  </si>
  <si>
    <t>Actividad</t>
  </si>
  <si>
    <t>Cantidad (88 m2)</t>
  </si>
  <si>
    <t>Cantidad en Ha</t>
  </si>
  <si>
    <t>Dias</t>
  </si>
  <si>
    <t>Costo Unitario (soles)</t>
  </si>
  <si>
    <t>Costo Unitario (Dolares)</t>
  </si>
  <si>
    <t>Costo Total (Dólares)</t>
  </si>
  <si>
    <t>Costo Total (Dólares) * Ha</t>
  </si>
  <si>
    <t>1 Dolar = 3.38 Soles</t>
  </si>
  <si>
    <t>Semana</t>
  </si>
  <si>
    <t>Total (88 M2)</t>
  </si>
  <si>
    <t>Mano de obra</t>
  </si>
  <si>
    <t>Pasajes - Riego</t>
  </si>
  <si>
    <t>Por personal</t>
  </si>
  <si>
    <t>Semena 1</t>
  </si>
  <si>
    <t>Labores en campo</t>
  </si>
  <si>
    <t>Horas</t>
  </si>
  <si>
    <t>Dólar</t>
  </si>
  <si>
    <t>Semana 2</t>
  </si>
  <si>
    <t>Soles</t>
  </si>
  <si>
    <t>Semana 3</t>
  </si>
  <si>
    <t>Insumos</t>
  </si>
  <si>
    <t>8 horas de jornal (dolares)</t>
  </si>
  <si>
    <t>1 hora de jornal (dolares)</t>
  </si>
  <si>
    <t>Maquinaria - Servicios</t>
  </si>
  <si>
    <t>Labores en campo- Limpieza de Pozo</t>
  </si>
  <si>
    <t>Semana 4</t>
  </si>
  <si>
    <t>Probador de humedad del suelo</t>
  </si>
  <si>
    <t>Maquinaria - servicios</t>
  </si>
  <si>
    <t>Alquiler Tijeras de poda</t>
  </si>
  <si>
    <t>Semana 5</t>
  </si>
  <si>
    <t>Alquiler - Mochila manual</t>
  </si>
  <si>
    <t>Marco de plantacion</t>
  </si>
  <si>
    <t>macetas</t>
  </si>
  <si>
    <t>Palos para Cartel</t>
  </si>
  <si>
    <t>surco</t>
  </si>
  <si>
    <t>Imagen y otros</t>
  </si>
  <si>
    <t>-</t>
  </si>
  <si>
    <t>Mes - Octubre</t>
  </si>
  <si>
    <t>Cantidad</t>
  </si>
  <si>
    <t>SEMANA 1</t>
  </si>
  <si>
    <t>SEMANA 2</t>
  </si>
  <si>
    <t>Materiales para arreglo del tanque</t>
  </si>
  <si>
    <t>Boldimix</t>
  </si>
  <si>
    <t>SEMANA 3</t>
  </si>
  <si>
    <t>Teflones</t>
  </si>
  <si>
    <t>SEMANA 4</t>
  </si>
  <si>
    <t>Ph-metro</t>
  </si>
  <si>
    <t>SEMANA 5</t>
  </si>
  <si>
    <t>Tijeras de poda</t>
  </si>
  <si>
    <t>Mochila manual</t>
  </si>
  <si>
    <t>FERTILIZANTE GRUPO 1 - Total</t>
  </si>
  <si>
    <t>kilo</t>
  </si>
  <si>
    <t>FERTILIZANTE GRUPO 2 - Total</t>
  </si>
  <si>
    <t>FERTILIZANTE GRUPO 3 -Total</t>
  </si>
  <si>
    <t>Balanza</t>
  </si>
  <si>
    <t>Balde</t>
  </si>
  <si>
    <t>Jarra</t>
  </si>
  <si>
    <t>Plastico</t>
  </si>
  <si>
    <t>metro</t>
  </si>
  <si>
    <t>Mes - Noviembre</t>
  </si>
  <si>
    <t>Semana (Lunes- Viernes)</t>
  </si>
  <si>
    <t>Pasajes(Ida y Vuelta)</t>
  </si>
  <si>
    <t>Semana 1</t>
  </si>
  <si>
    <t>Riego diario|</t>
  </si>
  <si>
    <t>Insumo</t>
  </si>
  <si>
    <t>jeringa</t>
  </si>
  <si>
    <t>unidad</t>
  </si>
  <si>
    <t>Labores Culturales</t>
  </si>
  <si>
    <t>Botellas</t>
  </si>
  <si>
    <t>Alambre</t>
  </si>
  <si>
    <t>Kilo</t>
  </si>
  <si>
    <t>Microaspersores</t>
  </si>
  <si>
    <t>Hilo</t>
  </si>
  <si>
    <t>Palos</t>
  </si>
  <si>
    <t>Servicios</t>
  </si>
  <si>
    <t xml:space="preserve">Palanas </t>
  </si>
  <si>
    <t>Sierra</t>
  </si>
  <si>
    <t>Picotas</t>
  </si>
  <si>
    <t>Total</t>
  </si>
  <si>
    <t>TABLA DE COSTOS - Hectarea</t>
  </si>
  <si>
    <t>MANO DE OBRA</t>
  </si>
  <si>
    <t>MAQUINARIA - SERVICIOS</t>
  </si>
  <si>
    <t>INSUMOS</t>
  </si>
  <si>
    <t>TABLA DE COSTOS - AREA TRABAJADA</t>
  </si>
  <si>
    <t>%</t>
  </si>
  <si>
    <t>Costo Total en 88 m2</t>
  </si>
  <si>
    <t>Costo Total en 1 Ha</t>
  </si>
  <si>
    <t>Area</t>
  </si>
  <si>
    <t>Cantidad (88m2)</t>
  </si>
  <si>
    <t>COSTO(Soles)</t>
  </si>
  <si>
    <t>Meses</t>
  </si>
  <si>
    <t>Gastos - Ha</t>
  </si>
  <si>
    <t>Septiembre</t>
  </si>
  <si>
    <t>Octubre</t>
  </si>
  <si>
    <t>Noviembre</t>
  </si>
  <si>
    <t>Diciembre</t>
  </si>
  <si>
    <t>Riego diario</t>
  </si>
  <si>
    <t>Fertiriego</t>
  </si>
  <si>
    <t>TOTAL MANO DE OBRA - HA</t>
  </si>
  <si>
    <t>TOTAL MANO DE OBRA - 88 M2</t>
  </si>
  <si>
    <t>Cantidad (ha)</t>
  </si>
  <si>
    <t>Dolares</t>
  </si>
  <si>
    <t>1 Jornal</t>
  </si>
  <si>
    <t>Materiales e Insumos</t>
  </si>
  <si>
    <t>Palos - Cartel</t>
  </si>
  <si>
    <t>FERTILIZANTE GRUPO 1</t>
  </si>
  <si>
    <t>FERTILIZANTE GRUPO 2</t>
  </si>
  <si>
    <t>FERTILIZANTE FRUPO 3</t>
  </si>
  <si>
    <t>mettro</t>
  </si>
  <si>
    <t>TOTAL INSUMOS - HA</t>
  </si>
  <si>
    <t>TOTAL INSUMOS - 88M2</t>
  </si>
  <si>
    <t>Maquinaria - Serivicio</t>
  </si>
  <si>
    <t>Probador de humedad de Suelo</t>
  </si>
  <si>
    <t>Alquiler de tijeras de poda</t>
  </si>
  <si>
    <t>Palos para cartel</t>
  </si>
  <si>
    <t>soles</t>
  </si>
  <si>
    <t>Imagen del cartel</t>
  </si>
  <si>
    <t>TOTAL MAQUINARIA -  INSUMOS - HA</t>
  </si>
  <si>
    <t>TOTAL MAQUINARIA -  INSUMOS - 88M2</t>
  </si>
  <si>
    <t>Mes - Diciembre</t>
  </si>
  <si>
    <t>Alquiler de terreno</t>
  </si>
  <si>
    <t>Mes - Enero</t>
  </si>
  <si>
    <t>Mes - Febrero</t>
  </si>
  <si>
    <t>INDICADORES ECONÓMICOS</t>
  </si>
  <si>
    <t>MES</t>
  </si>
  <si>
    <t>Flujo de Egresos</t>
  </si>
  <si>
    <t>Flujo de Ingresos</t>
  </si>
  <si>
    <t>Flujo - Efectivo Neto</t>
  </si>
  <si>
    <t>Flujo - Efec. Acumulado</t>
  </si>
  <si>
    <t>Tasa anual de descuento anual</t>
  </si>
  <si>
    <t>Tasa anual de descuento mensual</t>
  </si>
  <si>
    <t>Σ</t>
  </si>
  <si>
    <t>1kilo</t>
  </si>
  <si>
    <t>x</t>
  </si>
  <si>
    <t>TIR</t>
  </si>
  <si>
    <t>VAN</t>
  </si>
  <si>
    <t>B/C</t>
  </si>
  <si>
    <t>GRUPO</t>
  </si>
  <si>
    <t>FERTILIZANTE</t>
  </si>
  <si>
    <t>mg / L</t>
  </si>
  <si>
    <t>gr / L</t>
  </si>
  <si>
    <t>gr / L / dias</t>
  </si>
  <si>
    <t>gr / dias / volumen total</t>
  </si>
  <si>
    <t>UREA</t>
  </si>
  <si>
    <t>Sumatoria G1</t>
  </si>
  <si>
    <t>N° Usos en Kilo</t>
  </si>
  <si>
    <t>FOSFATO MONOAMONICO</t>
  </si>
  <si>
    <t>SULFATO DE POTASIO</t>
  </si>
  <si>
    <t>SULFATO DE MAGNESIO</t>
  </si>
  <si>
    <t>Concentracion en Gr/Ha</t>
  </si>
  <si>
    <t>SULFATO DE COBRE</t>
  </si>
  <si>
    <t>SULFATO DE MANGANESO</t>
  </si>
  <si>
    <t>Sumatoria G2</t>
  </si>
  <si>
    <t>N° Usos de Kilo</t>
  </si>
  <si>
    <t>SULFATO DE ZINC</t>
  </si>
  <si>
    <t>BORO</t>
  </si>
  <si>
    <t>NITRATO DE CALCIO</t>
  </si>
  <si>
    <t>Sumatoria 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</si>
</sst>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$-540A]* #,##0.00_ ;_-[$$-540A]* \-#,##0.00\ ;_-[$$-540A]* &quot;-&quot;??_ ;_-@_ "/>
    <numFmt numFmtId="165" formatCode="_-[$S/-280A]\ * #,##0.00_-;\-[$S/-280A]\ * #,##0.00_-;_-[$S/-280A]\ * &quot;-&quot;??_-;_-@"/>
    <numFmt numFmtId="166" formatCode="_-&quot;S/&quot;\ * #,##0.00_-;\-&quot;S/&quot;\ * #,##0.00_-;_-&quot;S/&quot;\ * &quot;-&quot;??_-;_-@"/>
    <numFmt numFmtId="167" formatCode="0.0"/>
    <numFmt numFmtId="168" formatCode="&quot;$&quot;#,##0.00"/>
  </numFmts>
  <fonts count="27">
    <font>
      <sz val="11.0"/>
      <color theme="1"/>
      <name val="Calibri"/>
      <scheme val="minor"/>
    </font>
    <font>
      <b/>
      <sz val="12.0"/>
      <color theme="0"/>
      <name val="Arial"/>
    </font>
    <font>
      <b/>
      <sz val="14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4.0"/>
      <color theme="0"/>
      <name val="Arial"/>
    </font>
    <font/>
    <font>
      <sz val="12.0"/>
      <color rgb="FF333333"/>
      <name val="Arial"/>
    </font>
    <font>
      <b/>
      <sz val="12.0"/>
      <color rgb="FF333333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>
      <sz val="11.0"/>
      <color rgb="FF000000"/>
      <name val="Calibri"/>
    </font>
    <font>
      <b/>
      <sz val="11.0"/>
      <color theme="1"/>
      <name val="Times New Roman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</font>
    <font>
      <b/>
      <sz val="26.0"/>
      <color rgb="FFFFFFFF"/>
      <name val="Arial Black"/>
    </font>
    <font>
      <b/>
      <sz val="11.0"/>
      <color theme="0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4.0"/>
      <color rgb="FF001D35"/>
      <name val="Arial"/>
    </font>
    <font>
      <b/>
      <sz val="13.0"/>
      <color theme="1"/>
      <name val="Arial Black"/>
    </font>
    <font>
      <b/>
      <sz val="16.0"/>
      <color theme="1"/>
      <name val="Calibri"/>
    </font>
  </fonts>
  <fills count="4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9B268"/>
        <bgColor rgb="FFF9B268"/>
      </patternFill>
    </fill>
    <fill>
      <patternFill patternType="solid">
        <fgColor theme="0"/>
        <bgColor theme="0"/>
      </patternFill>
    </fill>
    <fill>
      <patternFill patternType="solid">
        <fgColor rgb="FFC4E1F2"/>
        <bgColor rgb="FFC4E1F2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8DC182"/>
        <bgColor rgb="FF8DC182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  <fill>
      <patternFill patternType="solid">
        <fgColor rgb="FF3D85C6"/>
        <bgColor rgb="FF3D85C6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BCBCB"/>
        <bgColor rgb="FFCBCBCB"/>
      </patternFill>
    </fill>
    <fill>
      <patternFill patternType="solid">
        <fgColor rgb="FFE6F2FA"/>
        <bgColor rgb="FFE6F2FA"/>
      </patternFill>
    </fill>
    <fill>
      <patternFill patternType="solid">
        <fgColor rgb="FFD3E3FD"/>
        <bgColor rgb="FFD3E3FD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14" xfId="0" applyAlignment="1" applyBorder="1" applyFont="1" applyNumberFormat="1">
      <alignment horizontal="center" vertical="center"/>
    </xf>
    <xf borderId="1" fillId="4" fontId="3" numFmtId="1" xfId="0" applyAlignment="1" applyBorder="1" applyFont="1" applyNumberFormat="1">
      <alignment horizontal="center" vertical="center"/>
    </xf>
    <xf borderId="1" fillId="4" fontId="3" numFmtId="17" xfId="0" applyAlignment="1" applyBorder="1" applyFont="1" applyNumberFormat="1">
      <alignment horizontal="center" vertical="center"/>
    </xf>
    <xf borderId="2" fillId="4" fontId="4" numFmtId="0" xfId="0" applyBorder="1" applyFont="1"/>
    <xf borderId="2" fillId="4" fontId="3" numFmtId="0" xfId="0" applyBorder="1" applyFont="1"/>
    <xf borderId="3" fillId="2" fontId="5" numFmtId="0" xfId="0" applyAlignment="1" applyBorder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2" fillId="4" fontId="7" numFmtId="0" xfId="0" applyBorder="1" applyFont="1"/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center"/>
    </xf>
    <xf borderId="9" fillId="4" fontId="8" numFmtId="0" xfId="0" applyAlignment="1" applyBorder="1" applyFont="1">
      <alignment horizontal="center"/>
    </xf>
    <xf borderId="10" fillId="4" fontId="8" numFmtId="0" xfId="0" applyAlignment="1" applyBorder="1" applyFont="1">
      <alignment horizontal="center"/>
    </xf>
    <xf borderId="1" fillId="4" fontId="7" numFmtId="0" xfId="0" applyAlignment="1" applyBorder="1" applyFont="1">
      <alignment shrinkToFit="0" wrapText="1"/>
    </xf>
    <xf borderId="1" fillId="4" fontId="7" numFmtId="0" xfId="0" applyAlignment="1" applyBorder="1" applyFont="1">
      <alignment horizontal="center" shrinkToFit="0" wrapText="1"/>
    </xf>
    <xf borderId="1" fillId="4" fontId="7" numFmtId="164" xfId="0" applyAlignment="1" applyBorder="1" applyFont="1" applyNumberFormat="1">
      <alignment horizontal="center" readingOrder="0"/>
    </xf>
    <xf borderId="1" fillId="4" fontId="7" numFmtId="164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/>
    </xf>
    <xf borderId="11" fillId="5" fontId="8" numFmtId="0" xfId="0" applyAlignment="1" applyBorder="1" applyFill="1" applyFont="1">
      <alignment horizontal="center" shrinkToFit="0" vertical="center" wrapText="1"/>
    </xf>
    <xf borderId="12" fillId="5" fontId="8" numFmtId="0" xfId="0" applyAlignment="1" applyBorder="1" applyFont="1">
      <alignment horizontal="center" shrinkToFit="0" wrapText="1"/>
    </xf>
    <xf borderId="13" fillId="0" fontId="6" numFmtId="0" xfId="0" applyBorder="1" applyFont="1"/>
    <xf borderId="14" fillId="0" fontId="6" numFmtId="0" xfId="0" applyBorder="1" applyFont="1"/>
    <xf borderId="1" fillId="4" fontId="7" numFmtId="0" xfId="0" applyAlignment="1" applyBorder="1" applyFont="1">
      <alignment horizontal="left" shrinkToFit="0" wrapText="1"/>
    </xf>
    <xf borderId="1" fillId="4" fontId="7" numFmtId="165" xfId="0" applyAlignment="1" applyBorder="1" applyFont="1" applyNumberFormat="1">
      <alignment horizontal="center"/>
    </xf>
    <xf borderId="0" fillId="0" fontId="9" numFmtId="0" xfId="0" applyFont="1"/>
    <xf borderId="11" fillId="5" fontId="8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9" fillId="5" fontId="8" numFmtId="0" xfId="0" applyAlignment="1" applyBorder="1" applyFont="1">
      <alignment horizontal="center" shrinkToFit="0" wrapText="1"/>
    </xf>
    <xf borderId="9" fillId="5" fontId="7" numFmtId="164" xfId="0" applyAlignment="1" applyBorder="1" applyFont="1" applyNumberFormat="1">
      <alignment horizontal="center"/>
    </xf>
    <xf borderId="10" fillId="5" fontId="7" numFmtId="0" xfId="0" applyAlignment="1" applyBorder="1" applyFont="1">
      <alignment horizontal="center"/>
    </xf>
    <xf borderId="1" fillId="4" fontId="7" numFmtId="166" xfId="0" applyBorder="1" applyFont="1" applyNumberFormat="1"/>
    <xf borderId="12" fillId="5" fontId="7" numFmtId="0" xfId="0" applyAlignment="1" applyBorder="1" applyFont="1">
      <alignment horizontal="center" shrinkToFit="0" wrapText="1"/>
    </xf>
    <xf borderId="1" fillId="4" fontId="7" numFmtId="166" xfId="0" applyAlignment="1" applyBorder="1" applyFont="1" applyNumberFormat="1">
      <alignment horizontal="center"/>
    </xf>
    <xf borderId="12" fillId="5" fontId="7" numFmtId="0" xfId="0" applyAlignment="1" applyBorder="1" applyFont="1">
      <alignment horizontal="center" shrinkToFit="0" vertical="center" wrapText="1"/>
    </xf>
    <xf borderId="15" fillId="4" fontId="7" numFmtId="0" xfId="0" applyAlignment="1" applyBorder="1" applyFont="1">
      <alignment shrinkToFit="0" wrapText="1"/>
    </xf>
    <xf borderId="15" fillId="4" fontId="7" numFmtId="0" xfId="0" applyAlignment="1" applyBorder="1" applyFont="1">
      <alignment horizontal="center" shrinkToFit="0" wrapText="1"/>
    </xf>
    <xf borderId="15" fillId="4" fontId="7" numFmtId="166" xfId="0" applyAlignment="1" applyBorder="1" applyFont="1" applyNumberFormat="1">
      <alignment horizontal="center"/>
    </xf>
    <xf borderId="15" fillId="4" fontId="7" numFmtId="0" xfId="0" applyAlignment="1" applyBorder="1" applyFont="1">
      <alignment horizontal="center"/>
    </xf>
    <xf borderId="1" fillId="4" fontId="3" numFmtId="166" xfId="0" applyBorder="1" applyFont="1" applyNumberFormat="1"/>
    <xf borderId="1" fillId="4" fontId="3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0" numFmtId="2" xfId="0" applyAlignment="1" applyFont="1" applyNumberFormat="1">
      <alignment horizontal="right" vertical="center"/>
    </xf>
    <xf borderId="1" fillId="6" fontId="11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7" fontId="12" numFmtId="2" xfId="0" applyAlignment="1" applyBorder="1" applyFill="1" applyFont="1" applyNumberFormat="1">
      <alignment horizontal="center" vertical="center"/>
    </xf>
    <xf borderId="1" fillId="7" fontId="11" numFmtId="2" xfId="0" applyAlignment="1" applyBorder="1" applyFont="1" applyNumberForma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10" numFmtId="2" xfId="0" applyAlignment="1" applyFont="1" applyNumberFormat="1">
      <alignment horizontal="right" readingOrder="0" vertical="center"/>
    </xf>
    <xf borderId="8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left" vertical="center"/>
    </xf>
    <xf borderId="8" fillId="8" fontId="13" numFmtId="0" xfId="0" applyAlignment="1" applyBorder="1" applyFill="1" applyFont="1">
      <alignment horizontal="center" vertical="center"/>
    </xf>
    <xf borderId="8" fillId="9" fontId="11" numFmtId="0" xfId="0" applyAlignment="1" applyBorder="1" applyFill="1" applyFont="1">
      <alignment horizontal="center" vertical="center"/>
    </xf>
    <xf borderId="8" fillId="10" fontId="11" numFmtId="0" xfId="0" applyAlignment="1" applyBorder="1" applyFill="1" applyFont="1">
      <alignment horizontal="center" readingOrder="0" vertical="center"/>
    </xf>
    <xf borderId="1" fillId="11" fontId="11" numFmtId="0" xfId="0" applyAlignment="1" applyBorder="1" applyFill="1" applyFont="1">
      <alignment horizontal="center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center" readingOrder="0" shrinkToFit="0" vertical="center" wrapText="1"/>
    </xf>
    <xf borderId="1" fillId="11" fontId="11" numFmtId="2" xfId="0" applyAlignment="1" applyBorder="1" applyFont="1" applyNumberFormat="1">
      <alignment horizontal="center" shrinkToFit="0" vertical="center" wrapText="1"/>
    </xf>
    <xf borderId="1" fillId="12" fontId="11" numFmtId="2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13" fontId="10" numFmtId="0" xfId="0" applyAlignment="1" applyBorder="1" applyFill="1" applyFont="1">
      <alignment horizontal="center" shrinkToFit="0" vertical="center" wrapText="1"/>
    </xf>
    <xf borderId="1" fillId="11" fontId="14" numFmtId="0" xfId="0" applyAlignment="1" applyBorder="1" applyFont="1">
      <alignment horizontal="center" readingOrder="0" vertical="center"/>
    </xf>
    <xf borderId="16" fillId="14" fontId="11" numFmtId="0" xfId="0" applyAlignment="1" applyBorder="1" applyFill="1" applyFont="1">
      <alignment horizontal="center" vertical="center"/>
    </xf>
    <xf borderId="16" fillId="14" fontId="10" numFmtId="0" xfId="0" applyAlignment="1" applyBorder="1" applyFont="1">
      <alignment horizontal="center" vertical="center"/>
    </xf>
    <xf borderId="1" fillId="14" fontId="10" numFmtId="0" xfId="0" applyAlignment="1" applyBorder="1" applyFont="1">
      <alignment horizontal="center" vertical="center"/>
    </xf>
    <xf borderId="1" fillId="14" fontId="10" numFmtId="0" xfId="0" applyAlignment="1" applyBorder="1" applyFont="1">
      <alignment horizontal="center" readingOrder="0" vertical="center"/>
    </xf>
    <xf borderId="1" fillId="14" fontId="10" numFmtId="2" xfId="0" applyAlignment="1" applyBorder="1" applyFont="1" applyNumberFormat="1">
      <alignment horizontal="center" vertical="center"/>
    </xf>
    <xf borderId="1" fillId="15" fontId="10" numFmtId="2" xfId="0" applyAlignment="1" applyBorder="1" applyFill="1" applyFont="1" applyNumberFormat="1">
      <alignment horizontal="center" vertical="center"/>
    </xf>
    <xf borderId="1" fillId="16" fontId="11" numFmtId="0" xfId="0" applyAlignment="1" applyBorder="1" applyFill="1" applyFont="1">
      <alignment horizontal="center" readingOrder="0" vertical="center"/>
    </xf>
    <xf borderId="1" fillId="17" fontId="10" numFmtId="0" xfId="0" applyAlignment="1" applyBorder="1" applyFill="1" applyFont="1">
      <alignment horizontal="center" readingOrder="0" vertical="center"/>
    </xf>
    <xf borderId="1" fillId="0" fontId="10" numFmtId="2" xfId="0" applyAlignment="1" applyBorder="1" applyFont="1" applyNumberFormat="1">
      <alignment horizontal="center" vertical="center"/>
    </xf>
    <xf borderId="17" fillId="0" fontId="6" numFmtId="0" xfId="0" applyBorder="1" applyFont="1"/>
    <xf borderId="1" fillId="14" fontId="10" numFmtId="2" xfId="0" applyAlignment="1" applyBorder="1" applyFont="1" applyNumberFormat="1">
      <alignment horizontal="center" readingOrder="0" vertical="center"/>
    </xf>
    <xf borderId="1" fillId="10" fontId="10" numFmtId="0" xfId="0" applyAlignment="1" applyBorder="1" applyFont="1">
      <alignment horizontal="center" vertical="center"/>
    </xf>
    <xf borderId="1" fillId="17" fontId="11" numFmtId="0" xfId="0" applyAlignment="1" applyBorder="1" applyFont="1">
      <alignment horizontal="center" vertical="center"/>
    </xf>
    <xf borderId="16" fillId="18" fontId="11" numFmtId="0" xfId="0" applyAlignment="1" applyBorder="1" applyFill="1" applyFont="1">
      <alignment horizontal="center" vertical="center"/>
    </xf>
    <xf borderId="16" fillId="18" fontId="10" numFmtId="0" xfId="0" applyAlignment="1" applyBorder="1" applyFont="1">
      <alignment horizontal="center" vertical="center"/>
    </xf>
    <xf borderId="1" fillId="18" fontId="10" numFmtId="0" xfId="0" applyAlignment="1" applyBorder="1" applyFont="1">
      <alignment horizontal="center" vertical="center"/>
    </xf>
    <xf borderId="1" fillId="18" fontId="10" numFmtId="0" xfId="0" applyAlignment="1" applyBorder="1" applyFont="1">
      <alignment horizontal="center" readingOrder="0" vertical="center"/>
    </xf>
    <xf borderId="1" fillId="18" fontId="10" numFmtId="2" xfId="0" applyAlignment="1" applyBorder="1" applyFont="1" applyNumberFormat="1">
      <alignment horizontal="center" vertical="center"/>
    </xf>
    <xf borderId="16" fillId="16" fontId="11" numFmtId="0" xfId="0" applyAlignment="1" applyBorder="1" applyFont="1">
      <alignment horizontal="center" readingOrder="0" vertical="center"/>
    </xf>
    <xf borderId="1" fillId="18" fontId="10" numFmtId="2" xfId="0" applyAlignment="1" applyBorder="1" applyFont="1" applyNumberFormat="1">
      <alignment horizontal="center" readingOrder="0" vertical="center"/>
    </xf>
    <xf borderId="18" fillId="0" fontId="6" numFmtId="0" xfId="0" applyBorder="1" applyFont="1"/>
    <xf borderId="1" fillId="19" fontId="10" numFmtId="0" xfId="0" applyAlignment="1" applyBorder="1" applyFill="1" applyFont="1">
      <alignment horizontal="center" readingOrder="0" vertical="center"/>
    </xf>
    <xf borderId="16" fillId="20" fontId="11" numFmtId="0" xfId="0" applyAlignment="1" applyBorder="1" applyFill="1" applyFont="1">
      <alignment horizontal="center" vertical="center"/>
    </xf>
    <xf borderId="16" fillId="20" fontId="10" numFmtId="0" xfId="0" applyAlignment="1" applyBorder="1" applyFont="1">
      <alignment horizontal="center" vertical="center"/>
    </xf>
    <xf borderId="1" fillId="20" fontId="10" numFmtId="0" xfId="0" applyAlignment="1" applyBorder="1" applyFont="1">
      <alignment horizontal="center" vertical="center"/>
    </xf>
    <xf borderId="1" fillId="20" fontId="10" numFmtId="0" xfId="0" applyAlignment="1" applyBorder="1" applyFont="1">
      <alignment horizontal="center" readingOrder="0" vertical="center"/>
    </xf>
    <xf borderId="1" fillId="10" fontId="10" numFmtId="2" xfId="0" applyAlignment="1" applyBorder="1" applyFont="1" applyNumberFormat="1">
      <alignment horizontal="center" vertical="center"/>
    </xf>
    <xf borderId="1" fillId="20" fontId="10" numFmtId="2" xfId="0" applyAlignment="1" applyBorder="1" applyFont="1" applyNumberFormat="1">
      <alignment horizontal="center" vertical="center"/>
    </xf>
    <xf borderId="1" fillId="21" fontId="11" numFmtId="0" xfId="0" applyAlignment="1" applyBorder="1" applyFill="1" applyFont="1">
      <alignment horizontal="center" readingOrder="0" vertical="center"/>
    </xf>
    <xf borderId="1" fillId="20" fontId="10" numFmtId="0" xfId="0" applyAlignment="1" applyBorder="1" applyFont="1">
      <alignment horizontal="center" shrinkToFit="0" vertical="center" wrapText="1"/>
    </xf>
    <xf borderId="1" fillId="20" fontId="10" numFmtId="2" xfId="0" applyAlignment="1" applyBorder="1" applyFont="1" applyNumberFormat="1">
      <alignment horizontal="center" readingOrder="0" vertical="center"/>
    </xf>
    <xf borderId="8" fillId="22" fontId="11" numFmtId="0" xfId="0" applyAlignment="1" applyBorder="1" applyFill="1" applyFont="1">
      <alignment horizontal="center" readingOrder="0" vertical="center"/>
    </xf>
    <xf borderId="1" fillId="22" fontId="11" numFmtId="2" xfId="0" applyAlignment="1" applyBorder="1" applyFont="1" applyNumberFormat="1">
      <alignment horizontal="center" vertical="center"/>
    </xf>
    <xf borderId="16" fillId="23" fontId="11" numFmtId="0" xfId="0" applyAlignment="1" applyBorder="1" applyFill="1" applyFont="1">
      <alignment horizontal="center" vertical="center"/>
    </xf>
    <xf borderId="16" fillId="23" fontId="10" numFmtId="0" xfId="0" applyAlignment="1" applyBorder="1" applyFont="1">
      <alignment horizontal="center" vertical="center"/>
    </xf>
    <xf borderId="1" fillId="23" fontId="10" numFmtId="0" xfId="0" applyAlignment="1" applyBorder="1" applyFont="1">
      <alignment horizontal="center" vertical="center"/>
    </xf>
    <xf borderId="1" fillId="23" fontId="10" numFmtId="0" xfId="0" applyAlignment="1" applyBorder="1" applyFont="1">
      <alignment horizontal="center" readingOrder="0" vertical="center"/>
    </xf>
    <xf borderId="1" fillId="23" fontId="10" numFmtId="2" xfId="0" applyAlignment="1" applyBorder="1" applyFont="1" applyNumberFormat="1">
      <alignment horizontal="center" vertical="center"/>
    </xf>
    <xf borderId="8" fillId="24" fontId="11" numFmtId="0" xfId="0" applyAlignment="1" applyBorder="1" applyFill="1" applyFont="1">
      <alignment horizontal="center" vertical="center"/>
    </xf>
    <xf borderId="1" fillId="23" fontId="10" numFmtId="2" xfId="0" applyAlignment="1" applyBorder="1" applyFont="1" applyNumberFormat="1">
      <alignment horizontal="center" readingOrder="0" vertical="center"/>
    </xf>
    <xf borderId="16" fillId="23" fontId="10" numFmtId="0" xfId="0" applyAlignment="1" applyBorder="1" applyFont="1">
      <alignment horizontal="center" readingOrder="0" vertical="center"/>
    </xf>
    <xf borderId="16" fillId="25" fontId="11" numFmtId="0" xfId="0" applyAlignment="1" applyBorder="1" applyFill="1" applyFont="1">
      <alignment horizontal="center" vertical="center"/>
    </xf>
    <xf borderId="16" fillId="25" fontId="10" numFmtId="0" xfId="0" applyAlignment="1" applyBorder="1" applyFont="1">
      <alignment horizontal="center" vertical="center"/>
    </xf>
    <xf borderId="1" fillId="25" fontId="10" numFmtId="0" xfId="0" applyAlignment="1" applyBorder="1" applyFont="1">
      <alignment horizontal="center" vertical="center"/>
    </xf>
    <xf borderId="1" fillId="25" fontId="10" numFmtId="0" xfId="0" applyAlignment="1" applyBorder="1" applyFont="1">
      <alignment horizontal="center" readingOrder="0" vertical="center"/>
    </xf>
    <xf borderId="1" fillId="25" fontId="10" numFmtId="2" xfId="0" applyAlignment="1" applyBorder="1" applyFont="1" applyNumberFormat="1">
      <alignment horizontal="center" vertical="center"/>
    </xf>
    <xf borderId="1" fillId="25" fontId="10" numFmtId="2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6" fillId="10" fontId="11" numFmtId="0" xfId="0" applyAlignment="1" applyBorder="1" applyFont="1">
      <alignment horizontal="center" vertical="center"/>
    </xf>
    <xf borderId="16" fillId="10" fontId="10" numFmtId="0" xfId="0" applyAlignment="1" applyBorder="1" applyFont="1">
      <alignment horizontal="center" vertical="center"/>
    </xf>
    <xf borderId="1" fillId="10" fontId="10" numFmtId="0" xfId="0" applyAlignment="1" applyBorder="1" applyFont="1">
      <alignment horizontal="center" readingOrder="0" vertical="center"/>
    </xf>
    <xf borderId="1" fillId="10" fontId="10" numFmtId="2" xfId="0" applyAlignment="1" applyBorder="1" applyFont="1" applyNumberFormat="1">
      <alignment horizontal="center" readingOrder="0" vertical="center"/>
    </xf>
    <xf borderId="16" fillId="26" fontId="11" numFmtId="0" xfId="0" applyAlignment="1" applyBorder="1" applyFill="1" applyFont="1">
      <alignment horizontal="center" vertical="center"/>
    </xf>
    <xf borderId="1" fillId="26" fontId="10" numFmtId="0" xfId="0" applyAlignment="1" applyBorder="1" applyFont="1">
      <alignment horizontal="center" vertical="center"/>
    </xf>
    <xf borderId="1" fillId="26" fontId="10" numFmtId="0" xfId="0" applyAlignment="1" applyBorder="1" applyFont="1">
      <alignment horizontal="center" readingOrder="0" vertical="center"/>
    </xf>
    <xf borderId="1" fillId="26" fontId="10" numFmtId="2" xfId="0" applyAlignment="1" applyBorder="1" applyFont="1" applyNumberFormat="1">
      <alignment horizontal="center" vertical="center"/>
    </xf>
    <xf borderId="16" fillId="26" fontId="10" numFmtId="0" xfId="0" applyAlignment="1" applyBorder="1" applyFont="1">
      <alignment horizontal="center" readingOrder="0" vertical="center"/>
    </xf>
    <xf borderId="16" fillId="26" fontId="10" numFmtId="0" xfId="0" applyAlignment="1" applyBorder="1" applyFont="1">
      <alignment horizontal="center" vertical="center"/>
    </xf>
    <xf borderId="1" fillId="26" fontId="10" numFmtId="2" xfId="0" applyAlignment="1" applyBorder="1" applyFont="1" applyNumberFormat="1">
      <alignment horizontal="center" readingOrder="0" vertical="center"/>
    </xf>
    <xf borderId="1" fillId="18" fontId="10" numFmtId="0" xfId="0" applyAlignment="1" applyBorder="1" applyFont="1">
      <alignment horizontal="center" shrinkToFit="0" vertical="center" wrapText="1"/>
    </xf>
    <xf borderId="1" fillId="18" fontId="10" numFmtId="0" xfId="0" applyAlignment="1" applyBorder="1" applyFont="1">
      <alignment horizontal="center" readingOrder="0" shrinkToFit="0" vertical="center" wrapText="1"/>
    </xf>
    <xf borderId="16" fillId="27" fontId="11" numFmtId="0" xfId="0" applyAlignment="1" applyBorder="1" applyFill="1" applyFont="1">
      <alignment horizontal="center" vertical="center"/>
    </xf>
    <xf borderId="16" fillId="27" fontId="10" numFmtId="0" xfId="0" applyAlignment="1" applyBorder="1" applyFont="1">
      <alignment horizontal="center" vertical="center"/>
    </xf>
    <xf borderId="1" fillId="27" fontId="10" numFmtId="0" xfId="0" applyAlignment="1" applyBorder="1" applyFont="1">
      <alignment horizontal="center" vertical="center"/>
    </xf>
    <xf borderId="1" fillId="27" fontId="10" numFmtId="0" xfId="0" applyAlignment="1" applyBorder="1" applyFont="1">
      <alignment horizontal="center" readingOrder="0" vertical="center"/>
    </xf>
    <xf borderId="1" fillId="27" fontId="10" numFmtId="2" xfId="0" applyAlignment="1" applyBorder="1" applyFont="1" applyNumberFormat="1">
      <alignment horizontal="center" vertical="center"/>
    </xf>
    <xf borderId="1" fillId="27" fontId="10" numFmtId="2" xfId="0" applyAlignment="1" applyBorder="1" applyFont="1" applyNumberFormat="1">
      <alignment horizontal="center" readingOrder="0" vertical="center"/>
    </xf>
    <xf borderId="19" fillId="27" fontId="10" numFmtId="0" xfId="0" applyAlignment="1" applyBorder="1" applyFont="1">
      <alignment horizontal="center" vertical="center"/>
    </xf>
    <xf borderId="10" fillId="27" fontId="10" numFmtId="0" xfId="0" applyAlignment="1" applyBorder="1" applyFont="1">
      <alignment horizontal="center" readingOrder="0" vertical="center"/>
    </xf>
    <xf borderId="1" fillId="27" fontId="10" numFmtId="167" xfId="0" applyAlignment="1" applyBorder="1" applyFont="1" applyNumberFormat="1">
      <alignment horizontal="center" readingOrder="0" vertical="center"/>
    </xf>
    <xf borderId="14" fillId="27" fontId="10" numFmtId="0" xfId="0" applyAlignment="1" applyBorder="1" applyFont="1">
      <alignment horizontal="center" readingOrder="0" vertical="center"/>
    </xf>
    <xf borderId="1" fillId="15" fontId="10" numFmtId="2" xfId="0" applyAlignment="1" applyBorder="1" applyFont="1" applyNumberFormat="1">
      <alignment horizontal="center" readingOrder="0" vertical="center"/>
    </xf>
    <xf borderId="19" fillId="25" fontId="10" numFmtId="0" xfId="0" applyAlignment="1" applyBorder="1" applyFont="1">
      <alignment horizontal="center" vertical="center"/>
    </xf>
    <xf borderId="20" fillId="0" fontId="6" numFmtId="0" xfId="0" applyBorder="1" applyFont="1"/>
    <xf borderId="1" fillId="25" fontId="15" numFmtId="0" xfId="0" applyAlignment="1" applyBorder="1" applyFont="1">
      <alignment horizontal="center" vertical="center"/>
    </xf>
    <xf borderId="16" fillId="17" fontId="11" numFmtId="0" xfId="0" applyAlignment="1" applyBorder="1" applyFont="1">
      <alignment horizontal="center" vertical="center"/>
    </xf>
    <xf borderId="1" fillId="17" fontId="10" numFmtId="0" xfId="0" applyAlignment="1" applyBorder="1" applyFont="1">
      <alignment horizontal="center" readingOrder="0" shrinkToFit="0" vertical="center" wrapText="1"/>
    </xf>
    <xf borderId="1" fillId="17" fontId="10" numFmtId="0" xfId="0" applyAlignment="1" applyBorder="1" applyFont="1">
      <alignment horizontal="center" vertical="center"/>
    </xf>
    <xf borderId="1" fillId="17" fontId="10" numFmtId="2" xfId="0" applyAlignment="1" applyBorder="1" applyFont="1" applyNumberFormat="1">
      <alignment horizontal="center" vertical="center"/>
    </xf>
    <xf borderId="15" fillId="17" fontId="10" numFmtId="0" xfId="0" applyAlignment="1" applyBorder="1" applyFont="1">
      <alignment horizontal="center" vertical="center"/>
    </xf>
    <xf borderId="21" fillId="28" fontId="11" numFmtId="0" xfId="0" applyAlignment="1" applyBorder="1" applyFill="1" applyFont="1">
      <alignment horizontal="center" vertical="center"/>
    </xf>
    <xf borderId="1" fillId="28" fontId="10" numFmtId="0" xfId="0" applyAlignment="1" applyBorder="1" applyFont="1">
      <alignment horizontal="center" readingOrder="0" vertical="center"/>
    </xf>
    <xf borderId="10" fillId="28" fontId="10" numFmtId="0" xfId="0" applyAlignment="1" applyBorder="1" applyFont="1">
      <alignment horizontal="center" vertical="center"/>
    </xf>
    <xf borderId="1" fillId="28" fontId="10" numFmtId="0" xfId="0" applyAlignment="1" applyBorder="1" applyFont="1">
      <alignment horizontal="center" vertical="center"/>
    </xf>
    <xf borderId="1" fillId="28" fontId="10" numFmtId="2" xfId="0" applyAlignment="1" applyBorder="1" applyFont="1" applyNumberFormat="1">
      <alignment horizontal="center" vertical="center"/>
    </xf>
    <xf borderId="22" fillId="0" fontId="6" numFmtId="0" xfId="0" applyBorder="1" applyFont="1"/>
    <xf borderId="1" fillId="28" fontId="10" numFmtId="2" xfId="0" applyAlignment="1" applyBorder="1" applyFont="1" applyNumberFormat="1">
      <alignment horizontal="center" readingOrder="0" vertical="center"/>
    </xf>
    <xf borderId="23" fillId="0" fontId="6" numFmtId="0" xfId="0" applyBorder="1" applyFont="1"/>
    <xf borderId="0" fillId="0" fontId="10" numFmtId="0" xfId="0" applyFont="1"/>
    <xf borderId="16" fillId="6" fontId="11" numFmtId="0" xfId="0" applyAlignment="1" applyBorder="1" applyFont="1">
      <alignment horizontal="center" vertical="center"/>
    </xf>
    <xf borderId="24" fillId="6" fontId="10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1" fillId="6" fontId="10" numFmtId="2" xfId="0" applyAlignment="1" applyBorder="1" applyFont="1" applyNumberFormat="1">
      <alignment horizontal="center" readingOrder="0" vertical="center"/>
    </xf>
    <xf borderId="1" fillId="6" fontId="10" numFmtId="2" xfId="0" applyAlignment="1" applyBorder="1" applyFont="1" applyNumberFormat="1">
      <alignment horizontal="center" vertical="center"/>
    </xf>
    <xf borderId="25" fillId="0" fontId="6" numFmtId="0" xfId="0" applyBorder="1" applyFont="1"/>
    <xf borderId="26" fillId="6" fontId="10" numFmtId="0" xfId="0" applyAlignment="1" applyBorder="1" applyFont="1">
      <alignment horizontal="center" readingOrder="0" vertical="center"/>
    </xf>
    <xf borderId="27" fillId="0" fontId="6" numFmtId="0" xfId="0" applyBorder="1" applyFont="1"/>
    <xf borderId="15" fillId="6" fontId="10" numFmtId="0" xfId="0" applyAlignment="1" applyBorder="1" applyFont="1">
      <alignment horizontal="center" readingOrder="0" vertical="center"/>
    </xf>
    <xf borderId="16" fillId="6" fontId="10" numFmtId="0" xfId="0" applyAlignment="1" applyBorder="1" applyFont="1">
      <alignment horizontal="center" readingOrder="0" vertical="center"/>
    </xf>
    <xf borderId="10" fillId="6" fontId="10" numFmtId="0" xfId="0" applyAlignment="1" applyBorder="1" applyFont="1">
      <alignment horizontal="center" vertical="center"/>
    </xf>
    <xf borderId="15" fillId="6" fontId="10" numFmtId="0" xfId="0" applyAlignment="1" applyBorder="1" applyFont="1">
      <alignment horizontal="center" vertical="center"/>
    </xf>
    <xf borderId="15" fillId="6" fontId="10" numFmtId="2" xfId="0" applyAlignment="1" applyBorder="1" applyFont="1" applyNumberFormat="1">
      <alignment horizontal="center" vertical="center"/>
    </xf>
    <xf borderId="8" fillId="29" fontId="14" numFmtId="0" xfId="0" applyAlignment="1" applyBorder="1" applyFill="1" applyFont="1">
      <alignment horizontal="center" readingOrder="0" vertical="center"/>
    </xf>
    <xf borderId="1" fillId="13" fontId="16" numFmtId="0" xfId="0" applyAlignment="1" applyBorder="1" applyFont="1">
      <alignment horizontal="center" readingOrder="0" vertical="center"/>
    </xf>
    <xf borderId="1" fillId="13" fontId="10" numFmtId="2" xfId="0" applyAlignment="1" applyBorder="1" applyFont="1" applyNumberFormat="1">
      <alignment horizontal="center" vertical="center"/>
    </xf>
    <xf borderId="1" fillId="13" fontId="10" numFmtId="10" xfId="0" applyAlignment="1" applyBorder="1" applyFont="1" applyNumberFormat="1">
      <alignment horizontal="center" vertical="center"/>
    </xf>
    <xf borderId="1" fillId="13" fontId="10" numFmtId="0" xfId="0" applyAlignment="1" applyBorder="1" applyFont="1">
      <alignment horizontal="center" vertical="center"/>
    </xf>
    <xf borderId="1" fillId="10" fontId="14" numFmtId="0" xfId="0" applyAlignment="1" applyBorder="1" applyFont="1">
      <alignment horizontal="center" readingOrder="0" vertical="center"/>
    </xf>
    <xf borderId="1" fillId="10" fontId="14" numFmtId="0" xfId="0" applyAlignment="1" applyBorder="1" applyFont="1">
      <alignment horizontal="center" vertical="center"/>
    </xf>
    <xf borderId="1" fillId="10" fontId="14" numFmtId="10" xfId="0" applyAlignment="1" applyBorder="1" applyFont="1" applyNumberFormat="1">
      <alignment horizontal="center" vertical="center"/>
    </xf>
    <xf borderId="8" fillId="30" fontId="14" numFmtId="0" xfId="0" applyAlignment="1" applyBorder="1" applyFill="1" applyFont="1">
      <alignment horizontal="center" readingOrder="0" vertical="center"/>
    </xf>
    <xf borderId="1" fillId="10" fontId="14" numFmtId="2" xfId="0" applyAlignment="1" applyBorder="1" applyFont="1" applyNumberFormat="1">
      <alignment horizontal="center" vertical="center"/>
    </xf>
    <xf borderId="0" fillId="0" fontId="10" numFmtId="2" xfId="0" applyFont="1" applyNumberFormat="1"/>
    <xf borderId="0" fillId="0" fontId="9" numFmtId="0" xfId="0" applyAlignment="1" applyFont="1">
      <alignment horizontal="center"/>
    </xf>
    <xf borderId="1" fillId="11" fontId="17" numFmtId="0" xfId="0" applyAlignment="1" applyBorder="1" applyFont="1">
      <alignment horizontal="center" readingOrder="0" shrinkToFit="0" vertical="center" wrapText="1"/>
    </xf>
    <xf borderId="1" fillId="11" fontId="10" numFmtId="0" xfId="0" applyBorder="1" applyFont="1"/>
    <xf borderId="1" fillId="0" fontId="9" numFmtId="0" xfId="0" applyAlignment="1" applyBorder="1" applyFont="1">
      <alignment horizontal="center" readingOrder="0" vertical="center"/>
    </xf>
    <xf borderId="1" fillId="0" fontId="9" numFmtId="2" xfId="0" applyAlignment="1" applyBorder="1" applyFont="1" applyNumberFormat="1">
      <alignment horizontal="center" vertical="center"/>
    </xf>
    <xf borderId="1" fillId="0" fontId="10" numFmtId="0" xfId="0" applyBorder="1" applyFont="1"/>
    <xf borderId="1" fillId="31" fontId="17" numFmtId="0" xfId="0" applyAlignment="1" applyBorder="1" applyFill="1" applyFont="1">
      <alignment horizontal="center" readingOrder="0" vertical="center"/>
    </xf>
    <xf borderId="1" fillId="16" fontId="17" numFmtId="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10" numFmtId="2" xfId="0" applyBorder="1" applyFont="1" applyNumberFormat="1"/>
    <xf borderId="15" fillId="26" fontId="11" numFmtId="0" xfId="0" applyAlignment="1" applyBorder="1" applyFont="1">
      <alignment horizontal="center" vertical="center"/>
    </xf>
    <xf borderId="28" fillId="26" fontId="11" numFmtId="0" xfId="0" applyAlignment="1" applyBorder="1" applyFont="1">
      <alignment horizontal="center" vertical="center"/>
    </xf>
    <xf borderId="15" fillId="18" fontId="11" numFmtId="0" xfId="0" applyAlignment="1" applyBorder="1" applyFont="1">
      <alignment horizontal="center" vertical="center"/>
    </xf>
    <xf borderId="29" fillId="18" fontId="11" numFmtId="0" xfId="0" applyAlignment="1" applyBorder="1" applyFont="1">
      <alignment horizontal="center" vertical="center"/>
    </xf>
    <xf borderId="15" fillId="27" fontId="11" numFmtId="0" xfId="0" applyAlignment="1" applyBorder="1" applyFont="1">
      <alignment horizontal="center" vertical="center"/>
    </xf>
    <xf borderId="29" fillId="27" fontId="11" numFmtId="0" xfId="0" applyAlignment="1" applyBorder="1" applyFont="1">
      <alignment horizontal="center" vertical="center"/>
    </xf>
    <xf borderId="15" fillId="25" fontId="11" numFmtId="0" xfId="0" applyAlignment="1" applyBorder="1" applyFont="1">
      <alignment horizontal="center" vertical="center"/>
    </xf>
    <xf borderId="29" fillId="25" fontId="11" numFmtId="0" xfId="0" applyAlignment="1" applyBorder="1" applyFont="1">
      <alignment horizontal="center" vertical="center"/>
    </xf>
    <xf borderId="1" fillId="17" fontId="10" numFmtId="2" xfId="0" applyAlignment="1" applyBorder="1" applyFont="1" applyNumberFormat="1">
      <alignment horizontal="center" readingOrder="0" vertical="center"/>
    </xf>
    <xf borderId="1" fillId="17" fontId="10" numFmtId="0" xfId="0" applyAlignment="1" applyBorder="1" applyFont="1">
      <alignment horizontal="center" shrinkToFit="0" vertical="center" wrapText="1"/>
    </xf>
    <xf borderId="8" fillId="9" fontId="18" numFmtId="0" xfId="0" applyAlignment="1" applyBorder="1" applyFont="1">
      <alignment horizontal="center" readingOrder="0" vertical="center"/>
    </xf>
    <xf borderId="1" fillId="16" fontId="9" numFmtId="2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left" vertical="center"/>
    </xf>
    <xf borderId="1" fillId="0" fontId="14" numFmtId="2" xfId="0" applyAlignment="1" applyBorder="1" applyFont="1" applyNumberFormat="1">
      <alignment horizontal="center" vertical="center"/>
    </xf>
    <xf borderId="1" fillId="7" fontId="10" numFmtId="2" xfId="0" applyAlignment="1" applyBorder="1" applyFont="1" applyNumberFormat="1">
      <alignment horizontal="center" vertical="center"/>
    </xf>
    <xf borderId="1" fillId="11" fontId="11" numFmtId="2" xfId="0" applyAlignment="1" applyBorder="1" applyFont="1" applyNumberFormat="1">
      <alignment horizontal="right" shrinkToFit="0" vertical="center" wrapText="1"/>
    </xf>
    <xf borderId="1" fillId="15" fontId="10" numFmtId="2" xfId="0" applyAlignment="1" applyBorder="1" applyFont="1" applyNumberFormat="1">
      <alignment horizontal="right" vertical="center"/>
    </xf>
    <xf borderId="1" fillId="0" fontId="11" numFmtId="0" xfId="0" applyAlignment="1" applyBorder="1" applyFont="1">
      <alignment horizontal="center" readingOrder="0" vertical="center"/>
    </xf>
    <xf borderId="1" fillId="31" fontId="11" numFmtId="0" xfId="0" applyAlignment="1" applyBorder="1" applyFont="1">
      <alignment horizontal="center" readingOrder="0" vertical="center"/>
    </xf>
    <xf borderId="1" fillId="16" fontId="11" numFmtId="2" xfId="0" applyAlignment="1" applyBorder="1" applyFont="1" applyNumberFormat="1">
      <alignment horizontal="center" vertical="center"/>
    </xf>
    <xf borderId="1" fillId="0" fontId="10" numFmtId="2" xfId="0" applyAlignment="1" applyBorder="1" applyFont="1" applyNumberFormat="1">
      <alignment horizontal="right" vertical="center"/>
    </xf>
    <xf borderId="10" fillId="27" fontId="10" numFmtId="0" xfId="0" applyAlignment="1" applyBorder="1" applyFont="1">
      <alignment horizontal="center" vertical="center"/>
    </xf>
    <xf borderId="1" fillId="15" fontId="10" numFmtId="2" xfId="0" applyAlignment="1" applyBorder="1" applyFont="1" applyNumberFormat="1">
      <alignment horizontal="right" readingOrder="0" vertical="center"/>
    </xf>
    <xf borderId="1" fillId="0" fontId="10" numFmtId="0" xfId="0" applyAlignment="1" applyBorder="1" applyFont="1">
      <alignment horizontal="center" readingOrder="0" vertical="center"/>
    </xf>
    <xf borderId="1" fillId="16" fontId="11" numFmtId="0" xfId="0" applyAlignment="1" applyBorder="1" applyFont="1">
      <alignment horizontal="center" vertical="center"/>
    </xf>
    <xf borderId="16" fillId="32" fontId="10" numFmtId="0" xfId="0" applyAlignment="1" applyBorder="1" applyFill="1" applyFont="1">
      <alignment horizontal="center"/>
    </xf>
    <xf borderId="16" fillId="32" fontId="10" numFmtId="0" xfId="0" applyAlignment="1" applyBorder="1" applyFont="1">
      <alignment horizontal="center" readingOrder="0" vertical="center"/>
    </xf>
    <xf borderId="1" fillId="32" fontId="10" numFmtId="0" xfId="0" applyAlignment="1" applyBorder="1" applyFont="1">
      <alignment horizontal="center" vertical="center"/>
    </xf>
    <xf borderId="10" fillId="32" fontId="10" numFmtId="0" xfId="0" applyAlignment="1" applyBorder="1" applyFont="1">
      <alignment horizontal="center" vertical="center"/>
    </xf>
    <xf borderId="1" fillId="32" fontId="10" numFmtId="0" xfId="0" applyAlignment="1" applyBorder="1" applyFont="1">
      <alignment horizontal="center" readingOrder="0" vertical="center"/>
    </xf>
    <xf borderId="1" fillId="32" fontId="10" numFmtId="2" xfId="0" applyAlignment="1" applyBorder="1" applyFont="1" applyNumberFormat="1">
      <alignment horizontal="center" readingOrder="0" vertical="center"/>
    </xf>
    <xf borderId="1" fillId="32" fontId="10" numFmtId="2" xfId="0" applyAlignment="1" applyBorder="1" applyFont="1" applyNumberFormat="1">
      <alignment horizontal="center" vertical="center"/>
    </xf>
    <xf borderId="15" fillId="32" fontId="10" numFmtId="0" xfId="0" applyAlignment="1" applyBorder="1" applyFont="1">
      <alignment horizontal="center" vertical="center"/>
    </xf>
    <xf borderId="15" fillId="32" fontId="10" numFmtId="0" xfId="0" applyAlignment="1" applyBorder="1" applyFont="1">
      <alignment horizontal="center" readingOrder="0" vertical="center"/>
    </xf>
    <xf borderId="15" fillId="32" fontId="10" numFmtId="2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" fillId="9" fontId="14" numFmtId="0" xfId="0" applyAlignment="1" applyBorder="1" applyFont="1">
      <alignment horizontal="center" readingOrder="0" vertical="center"/>
    </xf>
    <xf borderId="1" fillId="16" fontId="19" numFmtId="2" xfId="0" applyAlignment="1" applyBorder="1" applyFont="1" applyNumberFormat="1">
      <alignment horizontal="center" vertical="center"/>
    </xf>
    <xf borderId="16" fillId="15" fontId="13" numFmtId="0" xfId="0" applyAlignment="1" applyBorder="1" applyFont="1">
      <alignment horizontal="center" vertical="center"/>
    </xf>
    <xf borderId="16" fillId="15" fontId="10" numFmtId="0" xfId="0" applyAlignment="1" applyBorder="1" applyFont="1">
      <alignment horizontal="center" vertical="center"/>
    </xf>
    <xf borderId="1" fillId="15" fontId="10" numFmtId="0" xfId="0" applyAlignment="1" applyBorder="1" applyFont="1">
      <alignment horizontal="center" readingOrder="0" vertical="center"/>
    </xf>
    <xf borderId="1" fillId="15" fontId="10" numFmtId="0" xfId="0" applyAlignment="1" applyBorder="1" applyFont="1">
      <alignment horizontal="center" vertical="center"/>
    </xf>
    <xf borderId="16" fillId="10" fontId="13" numFmtId="0" xfId="0" applyAlignment="1" applyBorder="1" applyFont="1">
      <alignment horizontal="center" readingOrder="0" vertical="center"/>
    </xf>
    <xf borderId="0" fillId="10" fontId="10" numFmtId="0" xfId="0" applyAlignment="1" applyFont="1">
      <alignment horizontal="center" vertical="center"/>
    </xf>
    <xf borderId="0" fillId="17" fontId="11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15" fontId="13" numFmtId="0" xfId="0" applyAlignment="1" applyBorder="1" applyFont="1">
      <alignment horizontal="center" vertical="center"/>
    </xf>
    <xf borderId="1" fillId="10" fontId="13" numFmtId="0" xfId="0" applyAlignment="1" applyBorder="1" applyFont="1">
      <alignment horizontal="center" readingOrder="0" vertical="center"/>
    </xf>
    <xf borderId="16" fillId="16" fontId="13" numFmtId="0" xfId="0" applyAlignment="1" applyBorder="1" applyFont="1">
      <alignment horizontal="center" readingOrder="0" vertical="center"/>
    </xf>
    <xf borderId="1" fillId="16" fontId="10" numFmtId="0" xfId="0" applyAlignment="1" applyBorder="1" applyFont="1">
      <alignment horizontal="center" vertical="center"/>
    </xf>
    <xf borderId="1" fillId="16" fontId="10" numFmtId="0" xfId="0" applyAlignment="1" applyBorder="1" applyFont="1">
      <alignment horizontal="center" readingOrder="0" vertical="center"/>
    </xf>
    <xf borderId="15" fillId="16" fontId="10" numFmtId="0" xfId="0" applyAlignment="1" applyBorder="1" applyFont="1">
      <alignment horizontal="center" vertical="center"/>
    </xf>
    <xf borderId="1" fillId="16" fontId="10" numFmtId="2" xfId="0" applyAlignment="1" applyBorder="1" applyFont="1" applyNumberFormat="1">
      <alignment horizontal="center" readingOrder="0" vertical="center"/>
    </xf>
    <xf borderId="1" fillId="16" fontId="10" numFmtId="2" xfId="0" applyAlignment="1" applyBorder="1" applyFont="1" applyNumberFormat="1">
      <alignment horizontal="center" vertical="center"/>
    </xf>
    <xf borderId="8" fillId="8" fontId="1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6" fillId="17" fontId="10" numFmtId="0" xfId="0" applyAlignment="1" applyBorder="1" applyFont="1">
      <alignment horizontal="center" vertical="center"/>
    </xf>
    <xf borderId="21" fillId="28" fontId="10" numFmtId="0" xfId="0" applyAlignment="1" applyBorder="1" applyFont="1">
      <alignment horizontal="center" vertical="center"/>
    </xf>
    <xf borderId="21" fillId="28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9" numFmtId="2" xfId="0" applyBorder="1" applyFont="1" applyNumberFormat="1"/>
    <xf borderId="30" fillId="11" fontId="10" numFmtId="0" xfId="0" applyBorder="1" applyFont="1"/>
    <xf borderId="8" fillId="0" fontId="9" numFmtId="0" xfId="0" applyBorder="1" applyFont="1"/>
    <xf borderId="3" fillId="33" fontId="20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4" fontId="21" numFmtId="0" xfId="0" applyAlignment="1" applyBorder="1" applyFill="1" applyFont="1">
      <alignment horizontal="center" vertical="center"/>
    </xf>
    <xf borderId="15" fillId="35" fontId="21" numFmtId="0" xfId="0" applyAlignment="1" applyBorder="1" applyFill="1" applyFont="1">
      <alignment horizontal="center" vertical="center"/>
    </xf>
    <xf borderId="15" fillId="12" fontId="22" numFmtId="0" xfId="0" applyAlignment="1" applyBorder="1" applyFont="1">
      <alignment horizontal="center" vertical="center"/>
    </xf>
    <xf borderId="1" fillId="36" fontId="22" numFmtId="0" xfId="0" applyAlignment="1" applyBorder="1" applyFill="1" applyFont="1">
      <alignment horizontal="center" vertical="center"/>
    </xf>
    <xf borderId="1" fillId="37" fontId="22" numFmtId="0" xfId="0" applyAlignment="1" applyBorder="1" applyFill="1" applyFont="1">
      <alignment horizontal="center" vertical="center"/>
    </xf>
    <xf borderId="1" fillId="11" fontId="23" numFmtId="0" xfId="0" applyAlignment="1" applyBorder="1" applyFont="1">
      <alignment horizontal="center" readingOrder="0" shrinkToFit="0" vertical="center" wrapText="1"/>
    </xf>
    <xf borderId="1" fillId="4" fontId="4" numFmtId="10" xfId="0" applyAlignment="1" applyBorder="1" applyFont="1" applyNumberFormat="1">
      <alignment horizontal="center" readingOrder="0" vertical="center"/>
    </xf>
    <xf borderId="1" fillId="38" fontId="23" numFmtId="0" xfId="0" applyAlignment="1" applyBorder="1" applyFill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23" numFmtId="165" xfId="0" applyAlignment="1" applyBorder="1" applyFont="1" applyNumberFormat="1">
      <alignment horizontal="center" vertical="center"/>
    </xf>
    <xf borderId="1" fillId="4" fontId="23" numFmtId="1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39" fontId="24" numFmtId="0" xfId="0" applyAlignment="1" applyBorder="1" applyFill="1" applyFont="1">
      <alignment horizontal="center" vertical="center"/>
    </xf>
    <xf borderId="1" fillId="10" fontId="23" numFmtId="164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2" fillId="4" fontId="23" numFmtId="0" xfId="0" applyAlignment="1" applyBorder="1" applyFont="1">
      <alignment horizontal="center" vertical="center"/>
    </xf>
    <xf borderId="2" fillId="4" fontId="23" numFmtId="10" xfId="0" applyAlignment="1" applyBorder="1" applyFont="1" applyNumberFormat="1">
      <alignment horizontal="center" vertical="center"/>
    </xf>
    <xf borderId="2" fillId="4" fontId="4" numFmtId="1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2" fillId="4" fontId="23" numFmtId="9" xfId="0" applyAlignment="1" applyBorder="1" applyFont="1" applyNumberFormat="1">
      <alignment horizontal="center" readingOrder="0" vertical="center"/>
    </xf>
    <xf borderId="2" fillId="4" fontId="23" numFmtId="4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center" vertical="center"/>
    </xf>
    <xf borderId="2" fillId="4" fontId="4" numFmtId="4" xfId="0" applyAlignment="1" applyBorder="1" applyFont="1" applyNumberFormat="1">
      <alignment horizontal="center" vertical="center"/>
    </xf>
    <xf borderId="1" fillId="4" fontId="23" numFmtId="168" xfId="0" applyAlignment="1" applyBorder="1" applyFont="1" applyNumberFormat="1">
      <alignment horizontal="center" vertical="center"/>
    </xf>
    <xf borderId="1" fillId="4" fontId="23" numFmtId="4" xfId="0" applyAlignment="1" applyBorder="1" applyFont="1" applyNumberFormat="1">
      <alignment horizontal="center" readingOrder="0" vertical="center"/>
    </xf>
    <xf borderId="1" fillId="4" fontId="4" numFmtId="10" xfId="0" applyAlignment="1" applyBorder="1" applyFont="1" applyNumberFormat="1">
      <alignment horizontal="center" vertical="center"/>
    </xf>
    <xf borderId="0" fillId="0" fontId="9" numFmtId="0" xfId="0" applyAlignment="1" applyFont="1">
      <alignment shrinkToFit="0" wrapText="1"/>
    </xf>
    <xf borderId="31" fillId="7" fontId="25" numFmtId="0" xfId="0" applyAlignment="1" applyBorder="1" applyFont="1">
      <alignment horizontal="center" shrinkToFit="0" vertical="center" wrapText="1"/>
    </xf>
    <xf borderId="32" fillId="7" fontId="25" numFmtId="0" xfId="0" applyAlignment="1" applyBorder="1" applyFont="1">
      <alignment horizontal="center" shrinkToFit="0" vertical="center" wrapText="1"/>
    </xf>
    <xf borderId="33" fillId="0" fontId="6" numFmtId="0" xfId="0" applyBorder="1" applyFont="1"/>
    <xf borderId="34" fillId="7" fontId="25" numFmtId="0" xfId="0" applyAlignment="1" applyBorder="1" applyFont="1">
      <alignment horizontal="center" shrinkToFit="0" vertical="center" wrapText="1"/>
    </xf>
    <xf borderId="35" fillId="40" fontId="26" numFmtId="0" xfId="0" applyAlignment="1" applyBorder="1" applyFill="1" applyFont="1">
      <alignment horizontal="center" shrinkToFit="0" vertical="center" wrapText="1"/>
    </xf>
    <xf borderId="32" fillId="0" fontId="19" numFmtId="0" xfId="0" applyAlignment="1" applyBorder="1" applyFont="1">
      <alignment shrinkToFit="0" vertical="center" wrapText="1"/>
    </xf>
    <xf borderId="36" fillId="0" fontId="10" numFmtId="0" xfId="0" applyAlignment="1" applyBorder="1" applyFont="1">
      <alignment horizontal="right" shrinkToFit="0" vertical="center" wrapText="1"/>
    </xf>
    <xf borderId="1" fillId="6" fontId="9" numFmtId="0" xfId="0" applyAlignment="1" applyBorder="1" applyFont="1">
      <alignment readingOrder="0"/>
    </xf>
    <xf borderId="37" fillId="0" fontId="6" numFmtId="0" xfId="0" applyBorder="1" applyFont="1"/>
    <xf borderId="1" fillId="6" fontId="9" numFmtId="0" xfId="0" applyBorder="1" applyFont="1"/>
    <xf borderId="38" fillId="0" fontId="6" numFmtId="0" xfId="0" applyBorder="1" applyFont="1"/>
    <xf borderId="35" fillId="9" fontId="26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readingOrder="0" shrinkToFit="0" wrapText="1"/>
    </xf>
    <xf borderId="1" fillId="16" fontId="9" numFmtId="0" xfId="0" applyAlignment="1" applyBorder="1" applyFont="1">
      <alignment readingOrder="0"/>
    </xf>
    <xf borderId="1" fillId="16" fontId="10" numFmtId="0" xfId="0" applyAlignment="1" applyBorder="1" applyFont="1">
      <alignment readingOrder="0"/>
    </xf>
    <xf borderId="1" fillId="16" fontId="9" numFmtId="0" xfId="0" applyBorder="1" applyFont="1"/>
    <xf borderId="1" fillId="16" fontId="10" numFmtId="0" xfId="0" applyBorder="1" applyFont="1"/>
    <xf borderId="39" fillId="41" fontId="26" numFmtId="0" xfId="0" applyAlignment="1" applyBorder="1" applyFill="1" applyFont="1">
      <alignment horizontal="center" shrinkToFit="0" vertical="center" wrapText="1"/>
    </xf>
    <xf borderId="39" fillId="42" fontId="26" numFmtId="0" xfId="0" applyAlignment="1" applyBorder="1" applyFill="1" applyFont="1">
      <alignment horizontal="center" shrinkToFit="0" vertical="center" wrapText="1"/>
    </xf>
    <xf borderId="1" fillId="16" fontId="9" numFmtId="0" xfId="0" applyAlignment="1" applyBorder="1" applyFont="1">
      <alignment readingOrder="0" shrinkToFit="0" wrapText="1"/>
    </xf>
    <xf borderId="1" fillId="43" fontId="9" numFmtId="0" xfId="0" applyAlignment="1" applyBorder="1" applyFill="1" applyFont="1">
      <alignment readingOrder="0"/>
    </xf>
    <xf borderId="1" fillId="43" fontId="10" numFmtId="0" xfId="0" applyAlignment="1" applyBorder="1" applyFont="1">
      <alignment readingOrder="0"/>
    </xf>
    <xf borderId="1" fillId="43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'Costeo General'!$Q$8:$Q$15</c:f>
            </c:strRef>
          </c:cat>
          <c:val>
            <c:numRef>
              <c:f>'Costeo General'!$Q$8:$Q$15</c:f>
              <c:numCache/>
            </c:numRef>
          </c:val>
        </c:ser>
        <c:axId val="1149931838"/>
        <c:axId val="89570644"/>
      </c:barChart>
      <c:catAx>
        <c:axId val="1149931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570644"/>
      </c:catAx>
      <c:valAx>
        <c:axId val="895706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4993183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Comic Sans MS"/>
              </a:defRPr>
            </a:pPr>
            <a:r>
              <a:rPr b="1" sz="2000">
                <a:solidFill>
                  <a:srgbClr val="000000"/>
                </a:solidFill>
                <a:latin typeface="Comic Sans MS"/>
              </a:rPr>
              <a:t>COSTOS POR RUBROS (PROYECCIÒN HECTRÀREA)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'Costeo General'!$D$81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explosion val="0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'Costeo General'!$C$82:$C$84</c:f>
            </c:strRef>
          </c:cat>
          <c:val>
            <c:numRef>
              <c:f>'Costeo General'!$D$82:$D$84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Tahoma"/>
              </a:defRPr>
            </a:pPr>
            <a:r>
              <a:rPr b="1">
                <a:solidFill>
                  <a:srgbClr val="757575"/>
                </a:solidFill>
                <a:latin typeface="Tahoma"/>
              </a:rPr>
              <a:t>COSTO TOTAL POR RUBROS - AREA TRABAJADA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'Costeo General'!$D$89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explosion val="0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'Costeo General'!$C$90:$C$92</c:f>
            </c:strRef>
          </c:cat>
          <c:val>
            <c:numRef>
              <c:f>'Costeo General'!$D$90:$D$92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'Copy of Rubro Insumos'!$Q$7</c:f>
            </c:strRef>
          </c:tx>
          <c:cat>
            <c:strRef>
              <c:f>'Copy of Rubro Insumos'!$Q$8:$Q$12</c:f>
            </c:strRef>
          </c:cat>
          <c:val>
            <c:numRef>
              <c:f>'Copy of Rubro Insumos'!$Q$8:$Q$12</c:f>
              <c:numCache/>
            </c:numRef>
          </c:val>
        </c:ser>
        <c:axId val="462862905"/>
        <c:axId val="1335518794"/>
      </c:barChart>
      <c:catAx>
        <c:axId val="462862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5518794"/>
      </c:catAx>
      <c:valAx>
        <c:axId val="13355187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628629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'Rubro Maquinaria - Servicio'!$Q$7</c:f>
            </c:strRef>
          </c:tx>
          <c:cat>
            <c:strRef>
              <c:f>'Rubro Maquinaria - Servicio'!$Q$8:$Q$11</c:f>
            </c:strRef>
          </c:cat>
          <c:val>
            <c:numRef>
              <c:f>'Rubro Maquinaria - Servicio'!$Q$8:$Q$11</c:f>
              <c:numCache/>
            </c:numRef>
          </c:val>
        </c:ser>
        <c:axId val="1098940860"/>
        <c:axId val="729344651"/>
      </c:barChart>
      <c:catAx>
        <c:axId val="1098940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9344651"/>
      </c:catAx>
      <c:valAx>
        <c:axId val="72934465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9894086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4.png"/><Relationship Id="rId11" Type="http://schemas.openxmlformats.org/officeDocument/2006/relationships/image" Target="../media/image1.png"/><Relationship Id="rId10" Type="http://schemas.openxmlformats.org/officeDocument/2006/relationships/image" Target="../media/image7.png"/><Relationship Id="rId9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657225</xdr:colOff>
      <xdr:row>17</xdr:row>
      <xdr:rowOff>9525</xdr:rowOff>
    </xdr:from>
    <xdr:ext cx="4305300" cy="2628900"/>
    <xdr:graphicFrame>
      <xdr:nvGraphicFramePr>
        <xdr:cNvPr id="2417525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971550</xdr:colOff>
      <xdr:row>71</xdr:row>
      <xdr:rowOff>190500</xdr:rowOff>
    </xdr:from>
    <xdr:ext cx="5514975" cy="3895725"/>
    <xdr:graphicFrame>
      <xdr:nvGraphicFramePr>
        <xdr:cNvPr id="79791067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800100</xdr:colOff>
      <xdr:row>89</xdr:row>
      <xdr:rowOff>152400</xdr:rowOff>
    </xdr:from>
    <xdr:ext cx="5943600" cy="3781425"/>
    <xdr:graphicFrame>
      <xdr:nvGraphicFramePr>
        <xdr:cNvPr id="153093066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504825</xdr:colOff>
      <xdr:row>0</xdr:row>
      <xdr:rowOff>0</xdr:rowOff>
    </xdr:from>
    <xdr:ext cx="3133725" cy="30861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704850</xdr:colOff>
      <xdr:row>29</xdr:row>
      <xdr:rowOff>57150</xdr:rowOff>
    </xdr:from>
    <xdr:ext cx="3133725" cy="262890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136</xdr:row>
      <xdr:rowOff>85725</xdr:rowOff>
    </xdr:from>
    <xdr:ext cx="6067425" cy="36099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137</xdr:row>
      <xdr:rowOff>-161925</xdr:rowOff>
    </xdr:from>
    <xdr:ext cx="5943600" cy="360997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157</xdr:row>
      <xdr:rowOff>28575</xdr:rowOff>
    </xdr:from>
    <xdr:ext cx="5781675" cy="3543300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156</xdr:row>
      <xdr:rowOff>152400</xdr:rowOff>
    </xdr:from>
    <xdr:ext cx="6162675" cy="463867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72</xdr:row>
      <xdr:rowOff>161925</xdr:rowOff>
    </xdr:from>
    <xdr:ext cx="5095875" cy="3543300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97</xdr:row>
      <xdr:rowOff>133350</xdr:rowOff>
    </xdr:from>
    <xdr:ext cx="1181100" cy="304800"/>
    <xdr:pic>
      <xdr:nvPicPr>
        <xdr:cNvPr id="0" name="image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1</xdr:row>
      <xdr:rowOff>76200</xdr:rowOff>
    </xdr:from>
    <xdr:ext cx="5715000" cy="3533775"/>
    <xdr:pic>
      <xdr:nvPicPr>
        <xdr:cNvPr id="61041307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657225</xdr:colOff>
      <xdr:row>15</xdr:row>
      <xdr:rowOff>9525</xdr:rowOff>
    </xdr:from>
    <xdr:ext cx="4305300" cy="2628900"/>
    <xdr:graphicFrame>
      <xdr:nvGraphicFramePr>
        <xdr:cNvPr id="1149701254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76200</xdr:colOff>
      <xdr:row>0</xdr:row>
      <xdr:rowOff>9525</xdr:rowOff>
    </xdr:from>
    <xdr:ext cx="3133725" cy="30861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704850</xdr:colOff>
      <xdr:row>25</xdr:row>
      <xdr:rowOff>57150</xdr:rowOff>
    </xdr:from>
    <xdr:ext cx="3133725" cy="26289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171450</xdr:rowOff>
    </xdr:from>
    <xdr:ext cx="6067425" cy="36099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69</xdr:row>
      <xdr:rowOff>190500</xdr:rowOff>
    </xdr:from>
    <xdr:ext cx="5943600" cy="36099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93</xdr:row>
      <xdr:rowOff>9525</xdr:rowOff>
    </xdr:from>
    <xdr:ext cx="5781675" cy="354330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88</xdr:row>
      <xdr:rowOff>104775</xdr:rowOff>
    </xdr:from>
    <xdr:ext cx="6162675" cy="46386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657225</xdr:colOff>
      <xdr:row>12</xdr:row>
      <xdr:rowOff>9525</xdr:rowOff>
    </xdr:from>
    <xdr:ext cx="4305300" cy="2628900"/>
    <xdr:graphicFrame>
      <xdr:nvGraphicFramePr>
        <xdr:cNvPr id="1580049173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76200</xdr:colOff>
      <xdr:row>0</xdr:row>
      <xdr:rowOff>9525</xdr:rowOff>
    </xdr:from>
    <xdr:ext cx="3133725" cy="30861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704850</xdr:colOff>
      <xdr:row>18</xdr:row>
      <xdr:rowOff>57150</xdr:rowOff>
    </xdr:from>
    <xdr:ext cx="3133725" cy="26289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58</xdr:row>
      <xdr:rowOff>123825</xdr:rowOff>
    </xdr:from>
    <xdr:ext cx="6067425" cy="36099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58</xdr:row>
      <xdr:rowOff>9525</xdr:rowOff>
    </xdr:from>
    <xdr:ext cx="5943600" cy="36099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79</xdr:row>
      <xdr:rowOff>200025</xdr:rowOff>
    </xdr:from>
    <xdr:ext cx="5781675" cy="354330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6162675" cy="46386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86"/>
    <col customWidth="1" min="3" max="3" width="23.86"/>
    <col customWidth="1" min="4" max="4" width="31.43"/>
    <col customWidth="1" min="5" max="5" width="20.43"/>
    <col customWidth="1" min="6" max="26" width="10.71"/>
  </cols>
  <sheetData>
    <row r="2">
      <c r="B2" s="1" t="s">
        <v>0</v>
      </c>
      <c r="C2" s="2" t="s">
        <v>1</v>
      </c>
      <c r="D2" s="1" t="s">
        <v>2</v>
      </c>
      <c r="E2" s="3" t="s">
        <v>3</v>
      </c>
    </row>
    <row r="3">
      <c r="B3" s="1" t="s">
        <v>4</v>
      </c>
      <c r="C3" s="4" t="s">
        <v>5</v>
      </c>
      <c r="D3" s="1" t="s">
        <v>6</v>
      </c>
      <c r="E3" s="4" t="s">
        <v>7</v>
      </c>
    </row>
    <row r="4">
      <c r="B4" s="1" t="s">
        <v>8</v>
      </c>
      <c r="C4" s="5" t="s">
        <v>9</v>
      </c>
      <c r="D4" s="1" t="s">
        <v>10</v>
      </c>
      <c r="E4" s="6" t="s">
        <v>11</v>
      </c>
    </row>
    <row r="5">
      <c r="B5" s="1" t="s">
        <v>12</v>
      </c>
      <c r="C5" s="4">
        <v>0.25</v>
      </c>
      <c r="D5" s="1" t="s">
        <v>13</v>
      </c>
      <c r="E5" s="7">
        <v>5000.0</v>
      </c>
    </row>
    <row r="6">
      <c r="B6" s="1" t="s">
        <v>14</v>
      </c>
      <c r="C6" s="4">
        <v>0.25</v>
      </c>
      <c r="D6" s="1" t="s">
        <v>15</v>
      </c>
      <c r="E6" s="4" t="s">
        <v>16</v>
      </c>
    </row>
    <row r="7">
      <c r="B7" s="1" t="s">
        <v>17</v>
      </c>
      <c r="C7" s="4" t="s">
        <v>18</v>
      </c>
      <c r="D7" s="1" t="s">
        <v>19</v>
      </c>
      <c r="E7" s="4" t="s">
        <v>20</v>
      </c>
    </row>
    <row r="8">
      <c r="B8" s="1" t="s">
        <v>21</v>
      </c>
      <c r="C8" s="4">
        <v>15000.0</v>
      </c>
      <c r="D8" s="1" t="s">
        <v>22</v>
      </c>
      <c r="E8" s="8" t="s">
        <v>23</v>
      </c>
    </row>
    <row r="9">
      <c r="B9" s="9"/>
      <c r="C9" s="9"/>
      <c r="D9" s="9"/>
      <c r="E9" s="9"/>
      <c r="F9" s="9"/>
    </row>
    <row r="10">
      <c r="B10" s="10"/>
      <c r="C10" s="10"/>
      <c r="D10" s="10"/>
      <c r="E10" s="10"/>
      <c r="F10" s="10"/>
    </row>
    <row r="11">
      <c r="B11" s="11" t="s">
        <v>24</v>
      </c>
      <c r="C11" s="12"/>
      <c r="D11" s="12"/>
      <c r="E11" s="12"/>
      <c r="F11" s="13"/>
    </row>
    <row r="12">
      <c r="B12" s="14"/>
      <c r="C12" s="14"/>
      <c r="D12" s="14"/>
      <c r="E12" s="14"/>
      <c r="F12" s="14"/>
    </row>
    <row r="13">
      <c r="B13" s="15" t="s">
        <v>25</v>
      </c>
      <c r="C13" s="15" t="s">
        <v>26</v>
      </c>
      <c r="D13" s="15" t="s">
        <v>27</v>
      </c>
      <c r="E13" s="15" t="s">
        <v>28</v>
      </c>
      <c r="F13" s="16" t="s">
        <v>29</v>
      </c>
    </row>
    <row r="14">
      <c r="B14" s="17" t="s">
        <v>30</v>
      </c>
      <c r="C14" s="18"/>
      <c r="D14" s="18"/>
      <c r="E14" s="18"/>
      <c r="F14" s="19"/>
    </row>
    <row r="15">
      <c r="B15" s="20" t="s">
        <v>30</v>
      </c>
      <c r="C15" s="21" t="s">
        <v>31</v>
      </c>
      <c r="D15" s="22">
        <v>12.68</v>
      </c>
      <c r="E15" s="23">
        <f>D15/$G$18</f>
        <v>3.75147929</v>
      </c>
      <c r="F15" s="24" t="s">
        <v>32</v>
      </c>
    </row>
    <row r="16">
      <c r="B16" s="25" t="s">
        <v>33</v>
      </c>
      <c r="C16" s="26"/>
      <c r="D16" s="27"/>
      <c r="E16" s="27"/>
      <c r="F16" s="28"/>
    </row>
    <row r="17">
      <c r="B17" s="29" t="s">
        <v>34</v>
      </c>
      <c r="C17" s="21" t="s">
        <v>31</v>
      </c>
      <c r="D17" s="30">
        <v>150.0</v>
      </c>
      <c r="E17" s="23">
        <f t="shared" ref="E17:E20" si="1">D17/$G$18</f>
        <v>44.37869822</v>
      </c>
      <c r="F17" s="24" t="s">
        <v>35</v>
      </c>
    </row>
    <row r="18">
      <c r="B18" s="29" t="s">
        <v>36</v>
      </c>
      <c r="C18" s="21" t="s">
        <v>31</v>
      </c>
      <c r="D18" s="30">
        <v>60.0</v>
      </c>
      <c r="E18" s="23">
        <f t="shared" si="1"/>
        <v>17.75147929</v>
      </c>
      <c r="F18" s="24" t="s">
        <v>37</v>
      </c>
      <c r="G18" s="31">
        <v>3.38</v>
      </c>
    </row>
    <row r="19">
      <c r="B19" s="29" t="s">
        <v>38</v>
      </c>
      <c r="C19" s="21" t="s">
        <v>31</v>
      </c>
      <c r="D19" s="30">
        <f t="shared" ref="D19:D20" si="2">+$D$15</f>
        <v>12.68</v>
      </c>
      <c r="E19" s="23">
        <f t="shared" si="1"/>
        <v>3.75147929</v>
      </c>
      <c r="F19" s="24" t="s">
        <v>32</v>
      </c>
    </row>
    <row r="20">
      <c r="B20" s="29" t="s">
        <v>39</v>
      </c>
      <c r="C20" s="21" t="s">
        <v>31</v>
      </c>
      <c r="D20" s="30">
        <f t="shared" si="2"/>
        <v>12.68</v>
      </c>
      <c r="E20" s="23">
        <f t="shared" si="1"/>
        <v>3.75147929</v>
      </c>
      <c r="F20" s="24" t="s">
        <v>32</v>
      </c>
    </row>
    <row r="21" ht="15.75" customHeight="1">
      <c r="B21" s="32" t="s">
        <v>40</v>
      </c>
      <c r="C21" s="26"/>
      <c r="D21" s="27"/>
      <c r="E21" s="27"/>
      <c r="F21" s="28"/>
    </row>
    <row r="22" ht="15.75" customHeight="1">
      <c r="B22" s="33" t="s">
        <v>41</v>
      </c>
      <c r="C22" s="34" t="s">
        <v>42</v>
      </c>
      <c r="D22" s="30">
        <v>60.0</v>
      </c>
      <c r="E22" s="23">
        <f t="shared" ref="E22:E23" si="3">D22/$G$18</f>
        <v>17.75147929</v>
      </c>
      <c r="F22" s="24" t="s">
        <v>43</v>
      </c>
    </row>
    <row r="23" ht="15.75" customHeight="1">
      <c r="B23" s="33" t="s">
        <v>44</v>
      </c>
      <c r="C23" s="35" t="s">
        <v>45</v>
      </c>
      <c r="D23" s="30">
        <v>50.0</v>
      </c>
      <c r="E23" s="23">
        <f t="shared" si="3"/>
        <v>14.79289941</v>
      </c>
      <c r="F23" s="24" t="s">
        <v>32</v>
      </c>
    </row>
    <row r="24" ht="15.75" customHeight="1">
      <c r="B24" s="25" t="s">
        <v>46</v>
      </c>
      <c r="C24" s="26"/>
      <c r="D24" s="27"/>
      <c r="E24" s="27"/>
      <c r="F24" s="28"/>
    </row>
    <row r="25" ht="15.75" customHeight="1">
      <c r="B25" s="29" t="s">
        <v>47</v>
      </c>
      <c r="C25" s="21" t="s">
        <v>31</v>
      </c>
      <c r="D25" s="30">
        <v>60.0</v>
      </c>
      <c r="E25" s="23">
        <f t="shared" ref="E25:E28" si="4">D25/$G$18</f>
        <v>17.75147929</v>
      </c>
      <c r="F25" s="24" t="s">
        <v>48</v>
      </c>
    </row>
    <row r="26" ht="15.75" customHeight="1">
      <c r="B26" s="29" t="s">
        <v>49</v>
      </c>
      <c r="C26" s="21" t="s">
        <v>31</v>
      </c>
      <c r="D26" s="30">
        <v>50.0</v>
      </c>
      <c r="E26" s="23">
        <f t="shared" si="4"/>
        <v>14.79289941</v>
      </c>
      <c r="F26" s="24" t="s">
        <v>32</v>
      </c>
    </row>
    <row r="27" ht="15.75" customHeight="1">
      <c r="B27" s="29" t="s">
        <v>50</v>
      </c>
      <c r="C27" s="21" t="s">
        <v>31</v>
      </c>
      <c r="D27" s="30" t="str">
        <f>+$D$16</f>
        <v/>
      </c>
      <c r="E27" s="23">
        <f t="shared" si="4"/>
        <v>0</v>
      </c>
      <c r="F27" s="24" t="str">
        <f t="shared" ref="F27:F28" si="5">+$F$16</f>
        <v/>
      </c>
    </row>
    <row r="28" ht="15.75" customHeight="1">
      <c r="B28" s="29" t="s">
        <v>51</v>
      </c>
      <c r="C28" s="21" t="s">
        <v>31</v>
      </c>
      <c r="D28" s="30">
        <v>25.35</v>
      </c>
      <c r="E28" s="23">
        <f t="shared" si="4"/>
        <v>7.5</v>
      </c>
      <c r="F28" s="24" t="str">
        <f t="shared" si="5"/>
        <v/>
      </c>
    </row>
    <row r="29" ht="15.75" customHeight="1">
      <c r="B29" s="25" t="s">
        <v>52</v>
      </c>
      <c r="C29" s="36"/>
      <c r="D29" s="37"/>
      <c r="E29" s="37"/>
      <c r="F29" s="38"/>
    </row>
    <row r="30" ht="15.75" customHeight="1">
      <c r="B30" s="20" t="s">
        <v>53</v>
      </c>
      <c r="C30" s="21" t="s">
        <v>31</v>
      </c>
      <c r="D30" s="39">
        <v>160.0</v>
      </c>
      <c r="E30" s="23">
        <f t="shared" ref="E30:E31" si="6">D30/$G$18</f>
        <v>47.33727811</v>
      </c>
      <c r="F30" s="24" t="s">
        <v>54</v>
      </c>
    </row>
    <row r="31" ht="15.75" customHeight="1">
      <c r="B31" s="20" t="s">
        <v>55</v>
      </c>
      <c r="C31" s="21" t="s">
        <v>31</v>
      </c>
      <c r="D31" s="39">
        <v>160.0</v>
      </c>
      <c r="E31" s="23">
        <f t="shared" si="6"/>
        <v>47.33727811</v>
      </c>
      <c r="F31" s="24" t="s">
        <v>54</v>
      </c>
    </row>
    <row r="32" ht="15.75" customHeight="1">
      <c r="B32" s="25" t="s">
        <v>56</v>
      </c>
      <c r="C32" s="40"/>
      <c r="D32" s="27"/>
      <c r="E32" s="27"/>
      <c r="F32" s="28"/>
    </row>
    <row r="33" ht="15.75" customHeight="1">
      <c r="B33" s="20" t="s">
        <v>57</v>
      </c>
      <c r="C33" s="21" t="s">
        <v>42</v>
      </c>
      <c r="D33" s="41">
        <v>250.0</v>
      </c>
      <c r="E33" s="23">
        <f>D33/$G$18</f>
        <v>73.96449704</v>
      </c>
      <c r="F33" s="24" t="s">
        <v>29</v>
      </c>
    </row>
    <row r="34" ht="15.75" customHeight="1">
      <c r="B34" s="32" t="s">
        <v>58</v>
      </c>
      <c r="C34" s="40"/>
      <c r="D34" s="27"/>
      <c r="E34" s="27"/>
      <c r="F34" s="28"/>
    </row>
    <row r="35" ht="15.75" customHeight="1">
      <c r="B35" s="20" t="s">
        <v>59</v>
      </c>
      <c r="C35" s="21" t="s">
        <v>31</v>
      </c>
      <c r="D35" s="41">
        <v>10.0</v>
      </c>
      <c r="E35" s="23">
        <f t="shared" ref="E35:E37" si="7">D35/$G$18</f>
        <v>2.958579882</v>
      </c>
      <c r="F35" s="24" t="s">
        <v>60</v>
      </c>
    </row>
    <row r="36" ht="15.75" customHeight="1">
      <c r="B36" s="20" t="s">
        <v>61</v>
      </c>
      <c r="C36" s="21" t="s">
        <v>31</v>
      </c>
      <c r="D36" s="41">
        <v>10.0</v>
      </c>
      <c r="E36" s="23">
        <f t="shared" si="7"/>
        <v>2.958579882</v>
      </c>
      <c r="F36" s="24" t="s">
        <v>60</v>
      </c>
    </row>
    <row r="37" ht="15.75" customHeight="1">
      <c r="B37" s="20" t="s">
        <v>62</v>
      </c>
      <c r="C37" s="21" t="s">
        <v>31</v>
      </c>
      <c r="D37" s="41">
        <v>10.0</v>
      </c>
      <c r="E37" s="23">
        <f t="shared" si="7"/>
        <v>2.958579882</v>
      </c>
      <c r="F37" s="24" t="s">
        <v>60</v>
      </c>
    </row>
    <row r="38" ht="15.75" customHeight="1">
      <c r="B38" s="25" t="s">
        <v>63</v>
      </c>
      <c r="C38" s="42"/>
      <c r="D38" s="27"/>
      <c r="E38" s="27"/>
      <c r="F38" s="28"/>
    </row>
    <row r="39" ht="15.75" customHeight="1">
      <c r="B39" s="20" t="s">
        <v>64</v>
      </c>
      <c r="C39" s="21" t="s">
        <v>42</v>
      </c>
      <c r="D39" s="41">
        <v>400.0</v>
      </c>
      <c r="E39" s="23">
        <f t="shared" ref="E39:E41" si="8">D39/$G$18</f>
        <v>118.3431953</v>
      </c>
      <c r="F39" s="24" t="s">
        <v>65</v>
      </c>
    </row>
    <row r="40" ht="15.75" customHeight="1">
      <c r="B40" s="43" t="s">
        <v>66</v>
      </c>
      <c r="C40" s="44" t="s">
        <v>42</v>
      </c>
      <c r="D40" s="45">
        <v>5000.0</v>
      </c>
      <c r="E40" s="23">
        <f t="shared" si="8"/>
        <v>1479.289941</v>
      </c>
      <c r="F40" s="46" t="s">
        <v>48</v>
      </c>
    </row>
    <row r="41" ht="15.75" customHeight="1">
      <c r="B41" s="33" t="s">
        <v>67</v>
      </c>
      <c r="C41" s="35" t="s">
        <v>31</v>
      </c>
      <c r="D41" s="47">
        <v>3.0</v>
      </c>
      <c r="E41" s="23">
        <f t="shared" si="8"/>
        <v>0.8875739645</v>
      </c>
      <c r="F41" s="48" t="s">
        <v>29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1:F11"/>
    <mergeCell ref="C16:F16"/>
    <mergeCell ref="C21:F21"/>
    <mergeCell ref="C24:F24"/>
    <mergeCell ref="C32:F32"/>
    <mergeCell ref="C34:F34"/>
    <mergeCell ref="C38:F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71"/>
    <col customWidth="1" min="3" max="3" width="39.71"/>
    <col customWidth="1" min="4" max="4" width="13.86"/>
    <col customWidth="1" min="5" max="5" width="12.43"/>
    <col customWidth="1" min="6" max="7" width="10.71"/>
    <col customWidth="1" min="9" max="9" width="15.14"/>
    <col customWidth="1" min="10" max="10" width="13.0"/>
    <col customWidth="1" min="11" max="11" width="17.57"/>
    <col customWidth="1" min="12" max="12" width="10.71"/>
    <col customWidth="1" min="13" max="13" width="25.71"/>
    <col customWidth="1" min="14" max="14" width="22.86"/>
    <col customWidth="1" min="15" max="15" width="10.71"/>
    <col customWidth="1" min="16" max="16" width="15.14"/>
    <col customWidth="1" min="17" max="17" width="23.71"/>
    <col customWidth="1" min="18" max="18" width="19.43"/>
    <col customWidth="1" min="19" max="28" width="10.71"/>
  </cols>
  <sheetData>
    <row r="1">
      <c r="A1" s="49"/>
      <c r="B1" s="49"/>
      <c r="C1" s="49"/>
      <c r="D1" s="49"/>
      <c r="E1" s="49"/>
      <c r="F1" s="49"/>
      <c r="G1" s="49"/>
      <c r="H1" s="50"/>
      <c r="I1" s="50"/>
      <c r="J1" s="50"/>
      <c r="K1" s="51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ht="36.0" customHeight="1">
      <c r="A2" s="52" t="s">
        <v>68</v>
      </c>
      <c r="B2" s="53">
        <v>5000.0</v>
      </c>
      <c r="C2" s="54" t="s">
        <v>69</v>
      </c>
      <c r="D2" s="53">
        <v>44.0</v>
      </c>
      <c r="E2" s="49"/>
      <c r="F2" s="49"/>
      <c r="G2" s="49"/>
      <c r="H2" s="55" t="s">
        <v>70</v>
      </c>
      <c r="I2" s="56">
        <f>K23+K50+K78</f>
        <v>4451.008047</v>
      </c>
      <c r="J2" s="57"/>
      <c r="K2" s="58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49"/>
      <c r="B3" s="49"/>
      <c r="C3" s="49"/>
      <c r="D3" s="49"/>
      <c r="E3" s="49"/>
      <c r="F3" s="49"/>
      <c r="G3" s="49"/>
      <c r="H3" s="50"/>
      <c r="I3" s="50"/>
      <c r="J3" s="50"/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ht="25.5" customHeight="1">
      <c r="A4" s="54" t="s">
        <v>71</v>
      </c>
      <c r="B4" s="59">
        <f>(D2*10000)/B2</f>
        <v>88</v>
      </c>
      <c r="C4" s="60" t="s">
        <v>72</v>
      </c>
      <c r="D4" s="49"/>
      <c r="E4" s="49"/>
      <c r="F4" s="49"/>
      <c r="G4" s="49"/>
      <c r="H4" s="49"/>
      <c r="I4" s="49"/>
      <c r="J4" s="49"/>
      <c r="K4" s="51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>
      <c r="A6" s="61" t="s">
        <v>73</v>
      </c>
      <c r="B6" s="27"/>
      <c r="C6" s="27"/>
      <c r="D6" s="27"/>
      <c r="E6" s="27"/>
      <c r="F6" s="27"/>
      <c r="G6" s="27"/>
      <c r="H6" s="27"/>
      <c r="I6" s="27"/>
      <c r="J6" s="27"/>
      <c r="K6" s="28"/>
      <c r="L6" s="49"/>
      <c r="M6" s="62" t="s">
        <v>74</v>
      </c>
      <c r="N6" s="28"/>
      <c r="O6" s="49"/>
      <c r="P6" s="63" t="s">
        <v>75</v>
      </c>
      <c r="Q6" s="27"/>
      <c r="R6" s="28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ht="31.5" customHeight="1">
      <c r="A7" s="64" t="s">
        <v>76</v>
      </c>
      <c r="B7" s="64" t="s">
        <v>77</v>
      </c>
      <c r="C7" s="64" t="s">
        <v>78</v>
      </c>
      <c r="D7" s="64" t="s">
        <v>29</v>
      </c>
      <c r="E7" s="65" t="s">
        <v>79</v>
      </c>
      <c r="F7" s="66" t="s">
        <v>80</v>
      </c>
      <c r="G7" s="64" t="s">
        <v>81</v>
      </c>
      <c r="H7" s="67" t="s">
        <v>82</v>
      </c>
      <c r="I7" s="67" t="s">
        <v>83</v>
      </c>
      <c r="J7" s="67" t="s">
        <v>84</v>
      </c>
      <c r="K7" s="68" t="s">
        <v>85</v>
      </c>
      <c r="L7" s="69"/>
      <c r="M7" s="70" t="s">
        <v>86</v>
      </c>
      <c r="N7" s="28"/>
      <c r="O7" s="69"/>
      <c r="P7" s="71" t="s">
        <v>87</v>
      </c>
      <c r="Q7" s="71" t="s">
        <v>77</v>
      </c>
      <c r="R7" s="71" t="s">
        <v>88</v>
      </c>
      <c r="S7" s="49"/>
      <c r="T7" s="49"/>
      <c r="U7" s="69"/>
      <c r="V7" s="69"/>
      <c r="W7" s="69"/>
      <c r="X7" s="69"/>
      <c r="Y7" s="69"/>
      <c r="Z7" s="69"/>
      <c r="AA7" s="69"/>
      <c r="AB7" s="69"/>
    </row>
    <row r="8">
      <c r="A8" s="72">
        <v>1.0</v>
      </c>
      <c r="B8" s="73" t="s">
        <v>89</v>
      </c>
      <c r="C8" s="74" t="s">
        <v>90</v>
      </c>
      <c r="D8" s="74" t="s">
        <v>91</v>
      </c>
      <c r="E8" s="74">
        <v>2.0</v>
      </c>
      <c r="F8" s="75">
        <v>4.0</v>
      </c>
      <c r="G8" s="74">
        <v>6.0</v>
      </c>
      <c r="H8" s="76">
        <v>3.0</v>
      </c>
      <c r="I8" s="76">
        <f>H8/M10</f>
        <v>0.8875739645</v>
      </c>
      <c r="J8" s="76">
        <f t="shared" ref="J8:J12" si="1">I8*E8*G8</f>
        <v>10.65088757</v>
      </c>
      <c r="K8" s="77">
        <f t="shared" ref="K8:K13" si="2">F8*G8*I8</f>
        <v>21.30177515</v>
      </c>
      <c r="L8" s="49"/>
      <c r="M8" s="49"/>
      <c r="N8" s="49"/>
      <c r="O8" s="49"/>
      <c r="P8" s="78" t="s">
        <v>92</v>
      </c>
      <c r="Q8" s="79" t="s">
        <v>89</v>
      </c>
      <c r="R8" s="80">
        <f>J8+J9</f>
        <v>55.65088757</v>
      </c>
      <c r="S8" s="49"/>
      <c r="T8" s="49"/>
      <c r="U8" s="49"/>
      <c r="V8" s="49"/>
      <c r="W8" s="49"/>
      <c r="X8" s="49"/>
      <c r="Y8" s="49"/>
      <c r="Z8" s="49"/>
      <c r="AA8" s="49"/>
      <c r="AB8" s="49"/>
    </row>
    <row r="9">
      <c r="A9" s="81"/>
      <c r="B9" s="81"/>
      <c r="C9" s="74" t="s">
        <v>93</v>
      </c>
      <c r="D9" s="74" t="s">
        <v>94</v>
      </c>
      <c r="E9" s="74">
        <v>2.0</v>
      </c>
      <c r="F9" s="75">
        <v>4.0</v>
      </c>
      <c r="G9" s="74">
        <v>6.0</v>
      </c>
      <c r="H9" s="82">
        <f>I9*M10</f>
        <v>12.675</v>
      </c>
      <c r="I9" s="82">
        <v>3.75</v>
      </c>
      <c r="J9" s="76">
        <f t="shared" si="1"/>
        <v>45</v>
      </c>
      <c r="K9" s="77">
        <f t="shared" si="2"/>
        <v>90</v>
      </c>
      <c r="L9" s="49"/>
      <c r="M9" s="83">
        <v>1.0</v>
      </c>
      <c r="N9" s="84" t="s">
        <v>95</v>
      </c>
      <c r="O9" s="49"/>
      <c r="P9" s="78" t="s">
        <v>96</v>
      </c>
      <c r="Q9" s="79" t="s">
        <v>89</v>
      </c>
      <c r="R9" s="80">
        <f>J10+J11</f>
        <v>55.65088757</v>
      </c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85">
        <v>2.0</v>
      </c>
      <c r="B10" s="86" t="s">
        <v>89</v>
      </c>
      <c r="C10" s="87" t="s">
        <v>90</v>
      </c>
      <c r="D10" s="87" t="s">
        <v>91</v>
      </c>
      <c r="E10" s="87">
        <v>2.0</v>
      </c>
      <c r="F10" s="88">
        <v>4.0</v>
      </c>
      <c r="G10" s="87">
        <v>6.0</v>
      </c>
      <c r="H10" s="89">
        <v>3.0</v>
      </c>
      <c r="I10" s="89">
        <f>H10/$M$10</f>
        <v>0.8875739645</v>
      </c>
      <c r="J10" s="89">
        <f t="shared" si="1"/>
        <v>10.65088757</v>
      </c>
      <c r="K10" s="77">
        <f t="shared" si="2"/>
        <v>21.30177515</v>
      </c>
      <c r="L10" s="49"/>
      <c r="M10" s="83">
        <v>3.38</v>
      </c>
      <c r="N10" s="84" t="s">
        <v>97</v>
      </c>
      <c r="O10" s="49"/>
      <c r="P10" s="90" t="s">
        <v>98</v>
      </c>
      <c r="Q10" s="79" t="s">
        <v>89</v>
      </c>
      <c r="R10" s="80">
        <f>J12+J13</f>
        <v>12.52662722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81"/>
      <c r="B11" s="81"/>
      <c r="C11" s="87" t="s">
        <v>93</v>
      </c>
      <c r="D11" s="87" t="s">
        <v>94</v>
      </c>
      <c r="E11" s="87">
        <v>2.0</v>
      </c>
      <c r="F11" s="88">
        <v>4.0</v>
      </c>
      <c r="G11" s="87">
        <v>6.0</v>
      </c>
      <c r="H11" s="91">
        <v>12.675</v>
      </c>
      <c r="I11" s="89">
        <f>H11/M10</f>
        <v>3.75</v>
      </c>
      <c r="J11" s="89">
        <f t="shared" si="1"/>
        <v>45</v>
      </c>
      <c r="K11" s="77">
        <f t="shared" si="2"/>
        <v>90</v>
      </c>
      <c r="L11" s="49"/>
      <c r="M11" s="49"/>
      <c r="N11" s="49"/>
      <c r="O11" s="49"/>
      <c r="P11" s="92"/>
      <c r="Q11" s="93" t="s">
        <v>99</v>
      </c>
      <c r="R11" s="80">
        <f>J14</f>
        <v>13.31360947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94">
        <v>3.0</v>
      </c>
      <c r="B12" s="95" t="s">
        <v>89</v>
      </c>
      <c r="C12" s="96" t="s">
        <v>90</v>
      </c>
      <c r="D12" s="96" t="s">
        <v>91</v>
      </c>
      <c r="E12" s="96">
        <v>2.0</v>
      </c>
      <c r="F12" s="97">
        <v>6.0</v>
      </c>
      <c r="G12" s="96">
        <v>6.0</v>
      </c>
      <c r="H12" s="98">
        <v>3.0</v>
      </c>
      <c r="I12" s="98">
        <f>H12/M10</f>
        <v>0.8875739645</v>
      </c>
      <c r="J12" s="99">
        <f t="shared" si="1"/>
        <v>10.65088757</v>
      </c>
      <c r="K12" s="77">
        <f t="shared" si="2"/>
        <v>31.95266272</v>
      </c>
      <c r="L12" s="49"/>
      <c r="M12" s="100" t="s">
        <v>100</v>
      </c>
      <c r="N12" s="100" t="s">
        <v>101</v>
      </c>
      <c r="O12" s="49"/>
      <c r="P12" s="81"/>
      <c r="Q12" s="88" t="s">
        <v>102</v>
      </c>
      <c r="R12" s="80">
        <f>J15+J16</f>
        <v>5.917159763</v>
      </c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ht="15.0" customHeight="1">
      <c r="A13" s="92"/>
      <c r="B13" s="81"/>
      <c r="C13" s="101" t="s">
        <v>103</v>
      </c>
      <c r="D13" s="96" t="s">
        <v>94</v>
      </c>
      <c r="E13" s="97">
        <v>0.5</v>
      </c>
      <c r="F13" s="97">
        <v>8.0</v>
      </c>
      <c r="G13" s="97">
        <v>1.0</v>
      </c>
      <c r="H13" s="102">
        <v>12.68</v>
      </c>
      <c r="I13" s="99">
        <f>H13/M10</f>
        <v>3.75147929</v>
      </c>
      <c r="J13" s="99">
        <f t="shared" ref="J13:J14" si="3">I13*E13</f>
        <v>1.875739645</v>
      </c>
      <c r="K13" s="77">
        <f t="shared" si="2"/>
        <v>30.01183432</v>
      </c>
      <c r="L13" s="49"/>
      <c r="M13" s="96">
        <v>30.0</v>
      </c>
      <c r="N13" s="96">
        <f>M13/8</f>
        <v>3.75</v>
      </c>
      <c r="O13" s="49"/>
      <c r="P13" s="90" t="s">
        <v>104</v>
      </c>
      <c r="Q13" s="79" t="s">
        <v>89</v>
      </c>
      <c r="R13" s="80">
        <f>J17+J18</f>
        <v>55.66863905</v>
      </c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ht="15.0" customHeight="1">
      <c r="A14" s="92"/>
      <c r="B14" s="97" t="s">
        <v>99</v>
      </c>
      <c r="C14" s="101" t="s">
        <v>105</v>
      </c>
      <c r="D14" s="96" t="s">
        <v>29</v>
      </c>
      <c r="E14" s="96">
        <v>1.0</v>
      </c>
      <c r="F14" s="97">
        <v>1.0</v>
      </c>
      <c r="G14" s="97"/>
      <c r="H14" s="99">
        <v>45.0</v>
      </c>
      <c r="I14" s="99">
        <f t="shared" ref="I14:I17" si="4">H14/$M$10</f>
        <v>13.31360947</v>
      </c>
      <c r="J14" s="99">
        <f t="shared" si="3"/>
        <v>13.31360947</v>
      </c>
      <c r="K14" s="77">
        <f>F14*I14</f>
        <v>13.31360947</v>
      </c>
      <c r="L14" s="49"/>
      <c r="M14" s="49"/>
      <c r="N14" s="49"/>
      <c r="O14" s="49"/>
      <c r="P14" s="81"/>
      <c r="Q14" s="93" t="s">
        <v>99</v>
      </c>
      <c r="R14" s="80">
        <f>J19+J20</f>
        <v>1.479289941</v>
      </c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ht="15.0" customHeight="1">
      <c r="A15" s="92"/>
      <c r="B15" s="96" t="s">
        <v>106</v>
      </c>
      <c r="C15" s="97" t="s">
        <v>107</v>
      </c>
      <c r="D15" s="97" t="s">
        <v>29</v>
      </c>
      <c r="E15" s="97">
        <v>1.0</v>
      </c>
      <c r="F15" s="97">
        <v>3.0</v>
      </c>
      <c r="G15" s="96">
        <v>1.0</v>
      </c>
      <c r="H15" s="96">
        <v>10.0</v>
      </c>
      <c r="I15" s="99">
        <f t="shared" si="4"/>
        <v>2.958579882</v>
      </c>
      <c r="J15" s="99">
        <f t="shared" ref="J15:J18" si="5">I15*E15*G15</f>
        <v>2.958579882</v>
      </c>
      <c r="K15" s="77">
        <f t="shared" ref="K15:K18" si="6">F15*G15*I15</f>
        <v>8.875739645</v>
      </c>
      <c r="L15" s="49"/>
      <c r="M15" s="49"/>
      <c r="N15" s="49"/>
      <c r="O15" s="49"/>
      <c r="P15" s="78" t="s">
        <v>108</v>
      </c>
      <c r="Q15" s="79" t="s">
        <v>89</v>
      </c>
      <c r="R15" s="80">
        <f>J21+J22</f>
        <v>18.55029586</v>
      </c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ht="15.0" customHeight="1">
      <c r="A16" s="81"/>
      <c r="B16" s="96" t="s">
        <v>106</v>
      </c>
      <c r="C16" s="97" t="s">
        <v>109</v>
      </c>
      <c r="D16" s="97" t="s">
        <v>29</v>
      </c>
      <c r="E16" s="97">
        <v>1.0</v>
      </c>
      <c r="F16" s="97">
        <v>3.0</v>
      </c>
      <c r="G16" s="96">
        <v>1.0</v>
      </c>
      <c r="H16" s="96">
        <v>10.0</v>
      </c>
      <c r="I16" s="99">
        <f t="shared" si="4"/>
        <v>2.958579882</v>
      </c>
      <c r="J16" s="99">
        <f t="shared" si="5"/>
        <v>2.958579882</v>
      </c>
      <c r="K16" s="77">
        <f t="shared" si="6"/>
        <v>8.875739645</v>
      </c>
      <c r="L16" s="49"/>
      <c r="M16" s="49"/>
      <c r="N16" s="49"/>
      <c r="O16" s="49"/>
      <c r="P16" s="103" t="s">
        <v>70</v>
      </c>
      <c r="Q16" s="28"/>
      <c r="R16" s="104">
        <f>SUM(R8:R15)</f>
        <v>218.7573964</v>
      </c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>
      <c r="A17" s="105">
        <v>4.0</v>
      </c>
      <c r="B17" s="106" t="s">
        <v>89</v>
      </c>
      <c r="C17" s="107" t="s">
        <v>90</v>
      </c>
      <c r="D17" s="107" t="s">
        <v>91</v>
      </c>
      <c r="E17" s="107">
        <v>2.0</v>
      </c>
      <c r="F17" s="108">
        <v>4.0</v>
      </c>
      <c r="G17" s="107">
        <v>6.0</v>
      </c>
      <c r="H17" s="109">
        <v>3.0</v>
      </c>
      <c r="I17" s="109">
        <f t="shared" si="4"/>
        <v>0.8875739645</v>
      </c>
      <c r="J17" s="109">
        <f t="shared" si="5"/>
        <v>10.65088757</v>
      </c>
      <c r="K17" s="77">
        <f t="shared" si="6"/>
        <v>21.30177515</v>
      </c>
      <c r="L17" s="49"/>
      <c r="M17" s="110" t="s">
        <v>110</v>
      </c>
      <c r="N17" s="28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>
      <c r="A18" s="92"/>
      <c r="B18" s="81"/>
      <c r="C18" s="107" t="s">
        <v>93</v>
      </c>
      <c r="D18" s="107" t="s">
        <v>94</v>
      </c>
      <c r="E18" s="107">
        <v>2.0</v>
      </c>
      <c r="F18" s="108">
        <v>4.0</v>
      </c>
      <c r="G18" s="107">
        <v>6.0</v>
      </c>
      <c r="H18" s="111">
        <v>12.68</v>
      </c>
      <c r="I18" s="109">
        <f>H18/M10</f>
        <v>3.75147929</v>
      </c>
      <c r="J18" s="109">
        <f t="shared" si="5"/>
        <v>45.01775148</v>
      </c>
      <c r="K18" s="77">
        <f t="shared" si="6"/>
        <v>90.03550296</v>
      </c>
      <c r="L18" s="49"/>
      <c r="M18" s="53" t="s">
        <v>111</v>
      </c>
      <c r="N18" s="53">
        <v>0.4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92"/>
      <c r="B19" s="112" t="s">
        <v>99</v>
      </c>
      <c r="C19" s="108" t="s">
        <v>112</v>
      </c>
      <c r="D19" s="107" t="s">
        <v>29</v>
      </c>
      <c r="E19" s="107">
        <v>2.0</v>
      </c>
      <c r="F19" s="108">
        <v>2.0</v>
      </c>
      <c r="G19" s="107"/>
      <c r="H19" s="109">
        <v>2.0</v>
      </c>
      <c r="I19" s="109">
        <f t="shared" ref="I19:I21" si="7">H19/$M$10</f>
        <v>0.5917159763</v>
      </c>
      <c r="J19" s="109">
        <f t="shared" ref="J19:J20" si="8">I19*E19</f>
        <v>1.183431953</v>
      </c>
      <c r="K19" s="77">
        <f t="shared" ref="K19:K20" si="9">F19*I19</f>
        <v>1.183431953</v>
      </c>
      <c r="L19" s="49"/>
      <c r="M19" s="53" t="s">
        <v>113</v>
      </c>
      <c r="N19" s="53">
        <v>2.0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A20" s="81"/>
      <c r="B20" s="81"/>
      <c r="C20" s="107" t="s">
        <v>114</v>
      </c>
      <c r="D20" s="107">
        <v>1.0</v>
      </c>
      <c r="E20" s="107">
        <v>1.0</v>
      </c>
      <c r="F20" s="108">
        <v>1.0</v>
      </c>
      <c r="G20" s="107"/>
      <c r="H20" s="109">
        <v>1.0</v>
      </c>
      <c r="I20" s="109">
        <f t="shared" si="7"/>
        <v>0.2958579882</v>
      </c>
      <c r="J20" s="109">
        <f t="shared" si="8"/>
        <v>0.2958579882</v>
      </c>
      <c r="K20" s="77">
        <f t="shared" si="9"/>
        <v>0.2958579882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>
      <c r="A21" s="113">
        <v>5.0</v>
      </c>
      <c r="B21" s="114" t="s">
        <v>89</v>
      </c>
      <c r="C21" s="115" t="s">
        <v>90</v>
      </c>
      <c r="D21" s="115" t="s">
        <v>91</v>
      </c>
      <c r="E21" s="115">
        <v>2.0</v>
      </c>
      <c r="F21" s="116">
        <v>4.0</v>
      </c>
      <c r="G21" s="116">
        <v>2.0</v>
      </c>
      <c r="H21" s="117">
        <v>3.0</v>
      </c>
      <c r="I21" s="117">
        <f t="shared" si="7"/>
        <v>0.8875739645</v>
      </c>
      <c r="J21" s="117">
        <f t="shared" ref="J21:J22" si="10">I21*E21*G21</f>
        <v>3.550295858</v>
      </c>
      <c r="K21" s="77">
        <f t="shared" ref="K21:K22" si="11">F21*G21*I21</f>
        <v>7.100591716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81"/>
      <c r="B22" s="81"/>
      <c r="C22" s="115" t="s">
        <v>93</v>
      </c>
      <c r="D22" s="115" t="s">
        <v>94</v>
      </c>
      <c r="E22" s="115">
        <v>2.0</v>
      </c>
      <c r="F22" s="116">
        <v>4.0</v>
      </c>
      <c r="G22" s="116">
        <v>2.0</v>
      </c>
      <c r="H22" s="118">
        <v>12.68</v>
      </c>
      <c r="I22" s="118">
        <v>3.75</v>
      </c>
      <c r="J22" s="117">
        <f t="shared" si="10"/>
        <v>15</v>
      </c>
      <c r="K22" s="77">
        <f t="shared" si="11"/>
        <v>30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119" t="s">
        <v>70</v>
      </c>
      <c r="B23" s="53" t="s">
        <v>115</v>
      </c>
      <c r="C23" s="53" t="s">
        <v>115</v>
      </c>
      <c r="D23" s="53" t="s">
        <v>115</v>
      </c>
      <c r="E23" s="53" t="s">
        <v>115</v>
      </c>
      <c r="F23" s="53"/>
      <c r="G23" s="53" t="s">
        <v>115</v>
      </c>
      <c r="H23" s="80">
        <f t="shared" ref="H23:K23" si="12">SUM(H8:H22)</f>
        <v>146.39</v>
      </c>
      <c r="I23" s="80">
        <f t="shared" si="12"/>
        <v>43.3091716</v>
      </c>
      <c r="J23" s="80">
        <f t="shared" si="12"/>
        <v>218.7573964</v>
      </c>
      <c r="K23" s="80">
        <f t="shared" si="12"/>
        <v>465.5502959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>
      <c r="A24" s="49"/>
      <c r="B24" s="49"/>
      <c r="C24" s="49"/>
      <c r="D24" s="49"/>
      <c r="E24" s="49"/>
      <c r="F24" s="49"/>
      <c r="G24" s="49"/>
      <c r="H24" s="50"/>
      <c r="I24" s="50"/>
      <c r="J24" s="50"/>
      <c r="K24" s="50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>
      <c r="A25" s="49"/>
      <c r="B25" s="49"/>
      <c r="C25" s="49"/>
      <c r="D25" s="49"/>
      <c r="E25" s="49"/>
      <c r="F25" s="49"/>
      <c r="G25" s="49"/>
      <c r="H25" s="50"/>
      <c r="I25" s="50"/>
      <c r="J25" s="50"/>
      <c r="K25" s="50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>
      <c r="A26" s="61" t="s">
        <v>116</v>
      </c>
      <c r="B26" s="27"/>
      <c r="C26" s="27"/>
      <c r="D26" s="27"/>
      <c r="E26" s="27"/>
      <c r="F26" s="27"/>
      <c r="G26" s="27"/>
      <c r="H26" s="27"/>
      <c r="I26" s="27"/>
      <c r="J26" s="27"/>
      <c r="K26" s="28"/>
      <c r="L26" s="49"/>
      <c r="M26" s="49"/>
      <c r="N26" s="49"/>
      <c r="O26" s="49"/>
      <c r="P26" s="63" t="s">
        <v>75</v>
      </c>
      <c r="Q26" s="27"/>
      <c r="R26" s="28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ht="31.5" customHeight="1">
      <c r="A27" s="64" t="s">
        <v>76</v>
      </c>
      <c r="B27" s="64" t="s">
        <v>77</v>
      </c>
      <c r="C27" s="64" t="s">
        <v>78</v>
      </c>
      <c r="D27" s="64" t="s">
        <v>29</v>
      </c>
      <c r="E27" s="64" t="s">
        <v>117</v>
      </c>
      <c r="F27" s="66" t="s">
        <v>80</v>
      </c>
      <c r="G27" s="64" t="s">
        <v>81</v>
      </c>
      <c r="H27" s="67" t="s">
        <v>82</v>
      </c>
      <c r="I27" s="67" t="s">
        <v>83</v>
      </c>
      <c r="J27" s="67" t="s">
        <v>84</v>
      </c>
      <c r="K27" s="68" t="s">
        <v>85</v>
      </c>
      <c r="L27" s="69"/>
      <c r="M27" s="69"/>
      <c r="N27" s="69"/>
      <c r="O27" s="69"/>
      <c r="P27" s="71" t="s">
        <v>87</v>
      </c>
      <c r="Q27" s="71" t="s">
        <v>77</v>
      </c>
      <c r="R27" s="71" t="s">
        <v>88</v>
      </c>
      <c r="S27" s="69"/>
      <c r="T27" s="69"/>
      <c r="U27" s="69"/>
      <c r="V27" s="69"/>
      <c r="W27" s="69"/>
      <c r="X27" s="69"/>
      <c r="Y27" s="69"/>
      <c r="Z27" s="69"/>
      <c r="AA27" s="69"/>
      <c r="AB27" s="69"/>
    </row>
    <row r="28" ht="15.75" customHeight="1">
      <c r="A28" s="120">
        <v>1.0</v>
      </c>
      <c r="B28" s="121" t="s">
        <v>89</v>
      </c>
      <c r="C28" s="83" t="s">
        <v>90</v>
      </c>
      <c r="D28" s="83" t="s">
        <v>91</v>
      </c>
      <c r="E28" s="83">
        <v>2.0</v>
      </c>
      <c r="F28" s="122">
        <v>4.0</v>
      </c>
      <c r="G28" s="83">
        <v>4.0</v>
      </c>
      <c r="H28" s="98">
        <v>3.0</v>
      </c>
      <c r="I28" s="98">
        <f>H28/$M$10</f>
        <v>0.8875739645</v>
      </c>
      <c r="J28" s="98">
        <f t="shared" ref="J28:J30" si="13">I28*E28*G28</f>
        <v>7.100591716</v>
      </c>
      <c r="K28" s="77">
        <f t="shared" ref="K28:K30" si="14">F28*G28*I28</f>
        <v>14.20118343</v>
      </c>
      <c r="L28" s="49"/>
      <c r="M28" s="49"/>
      <c r="N28" s="49"/>
      <c r="O28" s="49"/>
      <c r="P28" s="78" t="s">
        <v>118</v>
      </c>
      <c r="Q28" s="79" t="s">
        <v>89</v>
      </c>
      <c r="R28" s="80">
        <f>J28+J29</f>
        <v>37.11242604</v>
      </c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ht="15.75" customHeight="1">
      <c r="A29" s="81"/>
      <c r="B29" s="81"/>
      <c r="C29" s="83" t="s">
        <v>93</v>
      </c>
      <c r="D29" s="83" t="s">
        <v>94</v>
      </c>
      <c r="E29" s="83">
        <v>2.0</v>
      </c>
      <c r="F29" s="122">
        <v>4.0</v>
      </c>
      <c r="G29" s="83">
        <v>4.0</v>
      </c>
      <c r="H29" s="123">
        <v>12.68</v>
      </c>
      <c r="I29" s="98">
        <f>H29/M10</f>
        <v>3.75147929</v>
      </c>
      <c r="J29" s="98">
        <f t="shared" si="13"/>
        <v>30.01183432</v>
      </c>
      <c r="K29" s="77">
        <f t="shared" si="14"/>
        <v>60.02366864</v>
      </c>
      <c r="L29" s="49"/>
      <c r="M29" s="49"/>
      <c r="N29" s="49"/>
      <c r="O29" s="49"/>
      <c r="P29" s="90" t="s">
        <v>119</v>
      </c>
      <c r="Q29" s="79" t="s">
        <v>89</v>
      </c>
      <c r="R29" s="80">
        <f>J30+J33</f>
        <v>55.66863905</v>
      </c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ht="15.75" customHeight="1">
      <c r="A30" s="124">
        <v>2.0</v>
      </c>
      <c r="B30" s="125" t="s">
        <v>89</v>
      </c>
      <c r="C30" s="125" t="s">
        <v>90</v>
      </c>
      <c r="D30" s="125" t="s">
        <v>91</v>
      </c>
      <c r="E30" s="125">
        <v>2.0</v>
      </c>
      <c r="F30" s="126">
        <v>4.0</v>
      </c>
      <c r="G30" s="125">
        <v>6.0</v>
      </c>
      <c r="H30" s="127">
        <v>3.0</v>
      </c>
      <c r="I30" s="127">
        <f t="shared" ref="I30:I32" si="15">H30/$M$10</f>
        <v>0.8875739645</v>
      </c>
      <c r="J30" s="127">
        <f t="shared" si="13"/>
        <v>10.65088757</v>
      </c>
      <c r="K30" s="77">
        <f t="shared" si="14"/>
        <v>21.30177515</v>
      </c>
      <c r="L30" s="49"/>
      <c r="M30" s="49"/>
      <c r="N30" s="49"/>
      <c r="O30" s="49"/>
      <c r="P30" s="81"/>
      <c r="Q30" s="93" t="s">
        <v>99</v>
      </c>
      <c r="R30" s="80">
        <f>J31+J32</f>
        <v>3.550295858</v>
      </c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t="15.75" customHeight="1">
      <c r="A31" s="92"/>
      <c r="B31" s="128" t="s">
        <v>99</v>
      </c>
      <c r="C31" s="129" t="s">
        <v>120</v>
      </c>
      <c r="D31" s="125" t="s">
        <v>121</v>
      </c>
      <c r="E31" s="125">
        <v>1.0</v>
      </c>
      <c r="F31" s="126"/>
      <c r="G31" s="125">
        <v>1.0</v>
      </c>
      <c r="H31" s="127">
        <v>10.0</v>
      </c>
      <c r="I31" s="127">
        <f t="shared" si="15"/>
        <v>2.958579882</v>
      </c>
      <c r="J31" s="127">
        <f t="shared" ref="J31:J32" si="16">I31*E31</f>
        <v>2.958579882</v>
      </c>
      <c r="K31" s="77"/>
      <c r="L31" s="49"/>
      <c r="M31" s="49"/>
      <c r="N31" s="49"/>
      <c r="O31" s="49"/>
      <c r="P31" s="90" t="s">
        <v>122</v>
      </c>
      <c r="Q31" s="79" t="s">
        <v>89</v>
      </c>
      <c r="R31" s="80">
        <f>J34+J35</f>
        <v>55.65088757</v>
      </c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t="15.75" customHeight="1">
      <c r="A32" s="92"/>
      <c r="B32" s="81"/>
      <c r="C32" s="81"/>
      <c r="D32" s="125" t="s">
        <v>123</v>
      </c>
      <c r="E32" s="125">
        <v>2.0</v>
      </c>
      <c r="F32" s="126"/>
      <c r="G32" s="125">
        <v>1.0</v>
      </c>
      <c r="H32" s="127">
        <v>1.0</v>
      </c>
      <c r="I32" s="127">
        <f t="shared" si="15"/>
        <v>0.2958579882</v>
      </c>
      <c r="J32" s="127">
        <f t="shared" si="16"/>
        <v>0.5917159763</v>
      </c>
      <c r="K32" s="77"/>
      <c r="L32" s="49"/>
      <c r="M32" s="49"/>
      <c r="N32" s="49"/>
      <c r="O32" s="49"/>
      <c r="P32" s="92"/>
      <c r="Q32" s="93" t="s">
        <v>99</v>
      </c>
      <c r="R32" s="80">
        <f>J36</f>
        <v>13.31360947</v>
      </c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ht="15.75" customHeight="1">
      <c r="A33" s="81"/>
      <c r="B33" s="125" t="s">
        <v>89</v>
      </c>
      <c r="C33" s="125" t="s">
        <v>93</v>
      </c>
      <c r="D33" s="125" t="s">
        <v>94</v>
      </c>
      <c r="E33" s="125">
        <v>2.0</v>
      </c>
      <c r="F33" s="126">
        <v>4.0</v>
      </c>
      <c r="G33" s="125">
        <v>6.0</v>
      </c>
      <c r="H33" s="130">
        <v>12.68</v>
      </c>
      <c r="I33" s="127">
        <f>H33/M10</f>
        <v>3.75147929</v>
      </c>
      <c r="J33" s="127">
        <f t="shared" ref="J33:J35" si="17">I33*E33*G33</f>
        <v>45.01775148</v>
      </c>
      <c r="K33" s="77">
        <f t="shared" ref="K33:K35" si="18">F33*G33*I33</f>
        <v>90.03550296</v>
      </c>
      <c r="L33" s="49"/>
      <c r="M33" s="49"/>
      <c r="N33" s="49"/>
      <c r="O33" s="49"/>
      <c r="P33" s="81"/>
      <c r="Q33" s="88" t="s">
        <v>102</v>
      </c>
      <c r="R33" s="80">
        <f>J37+J38</f>
        <v>2.958579882</v>
      </c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ht="15.75" customHeight="1">
      <c r="A34" s="85">
        <v>3.0</v>
      </c>
      <c r="B34" s="86" t="s">
        <v>89</v>
      </c>
      <c r="C34" s="87" t="s">
        <v>90</v>
      </c>
      <c r="D34" s="87" t="s">
        <v>91</v>
      </c>
      <c r="E34" s="87">
        <v>2.0</v>
      </c>
      <c r="F34" s="88">
        <v>4.0</v>
      </c>
      <c r="G34" s="87">
        <v>6.0</v>
      </c>
      <c r="H34" s="89">
        <v>3.0</v>
      </c>
      <c r="I34" s="89">
        <f>H34/$M$10</f>
        <v>0.8875739645</v>
      </c>
      <c r="J34" s="89">
        <f t="shared" si="17"/>
        <v>10.65088757</v>
      </c>
      <c r="K34" s="77">
        <f t="shared" si="18"/>
        <v>21.30177515</v>
      </c>
      <c r="L34" s="49"/>
      <c r="M34" s="49"/>
      <c r="N34" s="49"/>
      <c r="O34" s="49"/>
      <c r="P34" s="90" t="s">
        <v>124</v>
      </c>
      <c r="Q34" s="79" t="s">
        <v>89</v>
      </c>
      <c r="R34" s="80">
        <f>J39+J40</f>
        <v>55.66863905</v>
      </c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t="15.75" customHeight="1">
      <c r="A35" s="92"/>
      <c r="B35" s="81"/>
      <c r="C35" s="131" t="s">
        <v>93</v>
      </c>
      <c r="D35" s="87" t="s">
        <v>94</v>
      </c>
      <c r="E35" s="88">
        <v>2.0</v>
      </c>
      <c r="F35" s="88">
        <v>4.0</v>
      </c>
      <c r="G35" s="87">
        <v>6.0</v>
      </c>
      <c r="H35" s="91">
        <v>12.68</v>
      </c>
      <c r="I35" s="91">
        <v>3.75</v>
      </c>
      <c r="J35" s="89">
        <f t="shared" si="17"/>
        <v>45</v>
      </c>
      <c r="K35" s="77">
        <f t="shared" si="18"/>
        <v>90</v>
      </c>
      <c r="L35" s="49"/>
      <c r="M35" s="49"/>
      <c r="N35" s="49"/>
      <c r="O35" s="49"/>
      <c r="P35" s="81"/>
      <c r="Q35" s="93" t="s">
        <v>99</v>
      </c>
      <c r="R35" s="80">
        <f>SUM(J41:J46)</f>
        <v>22.18934911</v>
      </c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ht="15.75" customHeight="1">
      <c r="A36" s="92"/>
      <c r="B36" s="87" t="s">
        <v>99</v>
      </c>
      <c r="C36" s="132" t="s">
        <v>125</v>
      </c>
      <c r="D36" s="87" t="s">
        <v>29</v>
      </c>
      <c r="E36" s="87">
        <v>1.0</v>
      </c>
      <c r="F36" s="88">
        <v>1.0</v>
      </c>
      <c r="G36" s="87">
        <v>0.0</v>
      </c>
      <c r="H36" s="89">
        <v>45.0</v>
      </c>
      <c r="I36" s="89">
        <f t="shared" ref="I36:I39" si="19">H36/$M$10</f>
        <v>13.31360947</v>
      </c>
      <c r="J36" s="89">
        <f>I36*E36</f>
        <v>13.31360947</v>
      </c>
      <c r="K36" s="77">
        <f>F36*I36</f>
        <v>13.31360947</v>
      </c>
      <c r="L36" s="49"/>
      <c r="M36" s="49"/>
      <c r="N36" s="49"/>
      <c r="O36" s="49"/>
      <c r="P36" s="90" t="s">
        <v>126</v>
      </c>
      <c r="Q36" s="79" t="s">
        <v>89</v>
      </c>
      <c r="R36" s="80">
        <f>J47+J48</f>
        <v>46.37573964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ht="15.75" customHeight="1">
      <c r="A37" s="92"/>
      <c r="B37" s="87" t="s">
        <v>106</v>
      </c>
      <c r="C37" s="87" t="s">
        <v>127</v>
      </c>
      <c r="D37" s="87" t="s">
        <v>54</v>
      </c>
      <c r="E37" s="87">
        <v>0.5</v>
      </c>
      <c r="F37" s="88">
        <v>3.0</v>
      </c>
      <c r="G37" s="87">
        <v>1.0</v>
      </c>
      <c r="H37" s="87">
        <v>10.0</v>
      </c>
      <c r="I37" s="89">
        <f t="shared" si="19"/>
        <v>2.958579882</v>
      </c>
      <c r="J37" s="89">
        <f t="shared" ref="J37:J40" si="20">I37*E37*G37</f>
        <v>1.479289941</v>
      </c>
      <c r="K37" s="77">
        <f t="shared" ref="K37:K43" si="21">F37*G37*I37</f>
        <v>8.875739645</v>
      </c>
      <c r="L37" s="49"/>
      <c r="M37" s="49"/>
      <c r="N37" s="49"/>
      <c r="O37" s="49"/>
      <c r="P37" s="81"/>
      <c r="Q37" s="93" t="s">
        <v>99</v>
      </c>
      <c r="R37" s="80">
        <f>J49</f>
        <v>72.4852071</v>
      </c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ht="15.75" customHeight="1">
      <c r="A38" s="81"/>
      <c r="B38" s="87" t="s">
        <v>106</v>
      </c>
      <c r="C38" s="87" t="s">
        <v>128</v>
      </c>
      <c r="D38" s="88" t="s">
        <v>29</v>
      </c>
      <c r="E38" s="87">
        <v>0.5</v>
      </c>
      <c r="F38" s="88">
        <v>3.0</v>
      </c>
      <c r="G38" s="87">
        <v>1.0</v>
      </c>
      <c r="H38" s="87">
        <v>10.0</v>
      </c>
      <c r="I38" s="89">
        <f t="shared" si="19"/>
        <v>2.958579882</v>
      </c>
      <c r="J38" s="89">
        <f t="shared" si="20"/>
        <v>1.479289941</v>
      </c>
      <c r="K38" s="77">
        <f t="shared" si="21"/>
        <v>8.875739645</v>
      </c>
      <c r="L38" s="49"/>
      <c r="M38" s="49"/>
      <c r="N38" s="49"/>
      <c r="O38" s="49"/>
      <c r="P38" s="103" t="s">
        <v>70</v>
      </c>
      <c r="Q38" s="28"/>
      <c r="R38" s="104">
        <f>SUM(R28:R37)</f>
        <v>364.9733728</v>
      </c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ht="15.75" customHeight="1">
      <c r="A39" s="133">
        <v>4.0</v>
      </c>
      <c r="B39" s="134" t="s">
        <v>89</v>
      </c>
      <c r="C39" s="135" t="s">
        <v>90</v>
      </c>
      <c r="D39" s="135" t="s">
        <v>91</v>
      </c>
      <c r="E39" s="135">
        <v>2.0</v>
      </c>
      <c r="F39" s="136">
        <v>4.0</v>
      </c>
      <c r="G39" s="135">
        <v>6.0</v>
      </c>
      <c r="H39" s="137">
        <v>3.0</v>
      </c>
      <c r="I39" s="137">
        <f t="shared" si="19"/>
        <v>0.8875739645</v>
      </c>
      <c r="J39" s="137">
        <f t="shared" si="20"/>
        <v>10.65088757</v>
      </c>
      <c r="K39" s="77">
        <f t="shared" si="21"/>
        <v>21.30177515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ht="15.75" customHeight="1">
      <c r="A40" s="92"/>
      <c r="B40" s="81"/>
      <c r="C40" s="135" t="s">
        <v>93</v>
      </c>
      <c r="D40" s="135" t="s">
        <v>94</v>
      </c>
      <c r="E40" s="135">
        <v>2.0</v>
      </c>
      <c r="F40" s="136">
        <v>4.0</v>
      </c>
      <c r="G40" s="135">
        <v>6.0</v>
      </c>
      <c r="H40" s="138">
        <v>12.68</v>
      </c>
      <c r="I40" s="137">
        <f>H40/M10</f>
        <v>3.75147929</v>
      </c>
      <c r="J40" s="137">
        <f t="shared" si="20"/>
        <v>45.01775148</v>
      </c>
      <c r="K40" s="77">
        <f t="shared" si="21"/>
        <v>90.03550296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ht="15.75" customHeight="1">
      <c r="A41" s="92"/>
      <c r="B41" s="139" t="s">
        <v>99</v>
      </c>
      <c r="C41" s="140" t="s">
        <v>129</v>
      </c>
      <c r="D41" s="135" t="s">
        <v>130</v>
      </c>
      <c r="E41" s="135">
        <v>1.0</v>
      </c>
      <c r="F41" s="141">
        <v>3.55</v>
      </c>
      <c r="G41" s="136">
        <v>7.0</v>
      </c>
      <c r="H41" s="137">
        <v>10.0</v>
      </c>
      <c r="I41" s="137">
        <f t="shared" ref="I41:I47" si="22">H41/$M$10</f>
        <v>2.958579882</v>
      </c>
      <c r="J41" s="137">
        <f t="shared" ref="J41:J46" si="23">I41*E41</f>
        <v>2.958579882</v>
      </c>
      <c r="K41" s="77">
        <f t="shared" si="21"/>
        <v>73.52071006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ht="15.75" customHeight="1">
      <c r="A42" s="92"/>
      <c r="B42" s="92"/>
      <c r="C42" s="140" t="s">
        <v>131</v>
      </c>
      <c r="D42" s="135" t="s">
        <v>130</v>
      </c>
      <c r="E42" s="135">
        <v>1.0</v>
      </c>
      <c r="F42" s="136">
        <v>1.64</v>
      </c>
      <c r="G42" s="136">
        <v>7.0</v>
      </c>
      <c r="H42" s="137">
        <v>10.0</v>
      </c>
      <c r="I42" s="137">
        <f t="shared" si="22"/>
        <v>2.958579882</v>
      </c>
      <c r="J42" s="137">
        <f t="shared" si="23"/>
        <v>2.958579882</v>
      </c>
      <c r="K42" s="77">
        <f t="shared" si="21"/>
        <v>33.96449704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ht="15.75" customHeight="1">
      <c r="A43" s="92"/>
      <c r="B43" s="92"/>
      <c r="C43" s="140" t="s">
        <v>132</v>
      </c>
      <c r="D43" s="135" t="s">
        <v>130</v>
      </c>
      <c r="E43" s="135">
        <v>1.0</v>
      </c>
      <c r="F43" s="136">
        <v>3.18</v>
      </c>
      <c r="G43" s="136">
        <v>7.0</v>
      </c>
      <c r="H43" s="137">
        <v>10.0</v>
      </c>
      <c r="I43" s="137">
        <f t="shared" si="22"/>
        <v>2.958579882</v>
      </c>
      <c r="J43" s="137">
        <f t="shared" si="23"/>
        <v>2.958579882</v>
      </c>
      <c r="K43" s="77">
        <f t="shared" si="21"/>
        <v>65.85798817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ht="15.75" customHeight="1">
      <c r="A44" s="92"/>
      <c r="B44" s="92"/>
      <c r="C44" s="142" t="s">
        <v>133</v>
      </c>
      <c r="D44" s="136" t="s">
        <v>29</v>
      </c>
      <c r="E44" s="136">
        <v>1.0</v>
      </c>
      <c r="F44" s="136">
        <v>1.0</v>
      </c>
      <c r="G44" s="136"/>
      <c r="H44" s="138">
        <v>30.0</v>
      </c>
      <c r="I44" s="137">
        <f t="shared" si="22"/>
        <v>8.875739645</v>
      </c>
      <c r="J44" s="137">
        <f t="shared" si="23"/>
        <v>8.875739645</v>
      </c>
      <c r="K44" s="77">
        <f>F44*I44</f>
        <v>8.875739645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ht="15.75" customHeight="1">
      <c r="A45" s="92"/>
      <c r="B45" s="92"/>
      <c r="C45" s="142" t="s">
        <v>134</v>
      </c>
      <c r="D45" s="136" t="s">
        <v>29</v>
      </c>
      <c r="E45" s="136">
        <v>1.0</v>
      </c>
      <c r="F45" s="136" t="s">
        <v>115</v>
      </c>
      <c r="G45" s="136" t="s">
        <v>115</v>
      </c>
      <c r="H45" s="138">
        <v>10.0</v>
      </c>
      <c r="I45" s="137">
        <f t="shared" si="22"/>
        <v>2.958579882</v>
      </c>
      <c r="J45" s="137">
        <f t="shared" si="23"/>
        <v>2.958579882</v>
      </c>
      <c r="K45" s="143">
        <v>2.96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ht="15.75" customHeight="1">
      <c r="A46" s="81"/>
      <c r="B46" s="81"/>
      <c r="C46" s="142" t="s">
        <v>135</v>
      </c>
      <c r="D46" s="136" t="s">
        <v>29</v>
      </c>
      <c r="E46" s="136">
        <v>1.0</v>
      </c>
      <c r="F46" s="136" t="s">
        <v>115</v>
      </c>
      <c r="G46" s="136" t="s">
        <v>115</v>
      </c>
      <c r="H46" s="138">
        <v>5.0</v>
      </c>
      <c r="I46" s="137">
        <f t="shared" si="22"/>
        <v>1.479289941</v>
      </c>
      <c r="J46" s="137">
        <f t="shared" si="23"/>
        <v>1.479289941</v>
      </c>
      <c r="K46" s="143">
        <v>1.48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ht="15.75" customHeight="1">
      <c r="A47" s="113">
        <v>5.0</v>
      </c>
      <c r="B47" s="144" t="s">
        <v>89</v>
      </c>
      <c r="C47" s="115" t="s">
        <v>90</v>
      </c>
      <c r="D47" s="115" t="s">
        <v>91</v>
      </c>
      <c r="E47" s="115">
        <v>2.0</v>
      </c>
      <c r="F47" s="116">
        <v>4.0</v>
      </c>
      <c r="G47" s="115">
        <v>5.0</v>
      </c>
      <c r="H47" s="117">
        <v>3.0</v>
      </c>
      <c r="I47" s="117">
        <f t="shared" si="22"/>
        <v>0.8875739645</v>
      </c>
      <c r="J47" s="117">
        <f t="shared" ref="J47:J48" si="24">I47*E47*G47</f>
        <v>8.875739645</v>
      </c>
      <c r="K47" s="77">
        <f t="shared" ref="K47:K48" si="25">F47*G47*I47</f>
        <v>17.75147929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ht="15.75" customHeight="1">
      <c r="A48" s="92"/>
      <c r="B48" s="145"/>
      <c r="C48" s="115" t="s">
        <v>93</v>
      </c>
      <c r="D48" s="115" t="s">
        <v>94</v>
      </c>
      <c r="E48" s="115">
        <v>2.0</v>
      </c>
      <c r="F48" s="116">
        <v>4.0</v>
      </c>
      <c r="G48" s="115">
        <v>5.0</v>
      </c>
      <c r="H48" s="118">
        <v>12.68</v>
      </c>
      <c r="I48" s="118">
        <v>3.75</v>
      </c>
      <c r="J48" s="117">
        <f t="shared" si="24"/>
        <v>37.5</v>
      </c>
      <c r="K48" s="77">
        <f t="shared" si="25"/>
        <v>75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ht="15.75" customHeight="1">
      <c r="A49" s="81"/>
      <c r="B49" s="146" t="s">
        <v>99</v>
      </c>
      <c r="C49" s="115" t="s">
        <v>136</v>
      </c>
      <c r="D49" s="116" t="s">
        <v>137</v>
      </c>
      <c r="E49" s="115">
        <v>7.0</v>
      </c>
      <c r="F49" s="115"/>
      <c r="G49" s="116"/>
      <c r="H49" s="117">
        <v>35.0</v>
      </c>
      <c r="I49" s="117">
        <f>H49/$M$10</f>
        <v>10.35502959</v>
      </c>
      <c r="J49" s="117">
        <f>I49*E49</f>
        <v>72.4852071</v>
      </c>
      <c r="K49" s="77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ht="15.75" customHeight="1">
      <c r="A50" s="119" t="s">
        <v>70</v>
      </c>
      <c r="B50" s="53"/>
      <c r="C50" s="53"/>
      <c r="D50" s="53"/>
      <c r="E50" s="53"/>
      <c r="F50" s="53"/>
      <c r="G50" s="53"/>
      <c r="H50" s="80"/>
      <c r="I50" s="80">
        <f t="shared" ref="I50:J50" si="26">SUM(I27:I49)</f>
        <v>78.22189349</v>
      </c>
      <c r="J50" s="80">
        <f t="shared" si="26"/>
        <v>364.9733728</v>
      </c>
      <c r="K50" s="80">
        <f>SUM(K28:K49)</f>
        <v>718.6766864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ht="15.75" customHeight="1">
      <c r="A51" s="49"/>
      <c r="B51" s="49"/>
      <c r="C51" s="49"/>
      <c r="D51" s="49"/>
      <c r="E51" s="49"/>
      <c r="F51" s="49"/>
      <c r="G51" s="49"/>
      <c r="H51" s="50"/>
      <c r="I51" s="50"/>
      <c r="J51" s="50"/>
      <c r="K51" s="50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ht="15.75" customHeight="1">
      <c r="A52" s="49"/>
      <c r="B52" s="49"/>
      <c r="C52" s="49"/>
      <c r="D52" s="49"/>
      <c r="E52" s="49"/>
      <c r="F52" s="49"/>
      <c r="G52" s="49"/>
      <c r="H52" s="50"/>
      <c r="I52" s="50"/>
      <c r="J52" s="50"/>
      <c r="K52" s="50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ht="15.75" customHeight="1">
      <c r="A53" s="61" t="s">
        <v>138</v>
      </c>
      <c r="B53" s="27"/>
      <c r="C53" s="27"/>
      <c r="D53" s="27"/>
      <c r="E53" s="27"/>
      <c r="F53" s="27"/>
      <c r="G53" s="27"/>
      <c r="H53" s="27"/>
      <c r="I53" s="27"/>
      <c r="J53" s="27"/>
      <c r="K53" s="28"/>
      <c r="L53" s="49"/>
      <c r="M53" s="49"/>
      <c r="N53" s="49"/>
      <c r="O53" s="49"/>
      <c r="P53" s="63" t="s">
        <v>75</v>
      </c>
      <c r="Q53" s="27"/>
      <c r="R53" s="28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ht="31.5" customHeight="1">
      <c r="A54" s="64" t="s">
        <v>139</v>
      </c>
      <c r="B54" s="64" t="s">
        <v>77</v>
      </c>
      <c r="C54" s="64" t="s">
        <v>78</v>
      </c>
      <c r="D54" s="64" t="s">
        <v>29</v>
      </c>
      <c r="E54" s="64" t="s">
        <v>117</v>
      </c>
      <c r="F54" s="66" t="s">
        <v>80</v>
      </c>
      <c r="G54" s="64" t="s">
        <v>81</v>
      </c>
      <c r="H54" s="67" t="s">
        <v>82</v>
      </c>
      <c r="I54" s="67" t="s">
        <v>83</v>
      </c>
      <c r="J54" s="67" t="s">
        <v>84</v>
      </c>
      <c r="K54" s="68" t="s">
        <v>85</v>
      </c>
      <c r="L54" s="69"/>
      <c r="M54" s="69"/>
      <c r="N54" s="69"/>
      <c r="O54" s="69"/>
      <c r="P54" s="71" t="s">
        <v>87</v>
      </c>
      <c r="Q54" s="71" t="s">
        <v>77</v>
      </c>
      <c r="R54" s="71" t="s">
        <v>88</v>
      </c>
      <c r="S54" s="69"/>
      <c r="T54" s="69"/>
      <c r="U54" s="69"/>
      <c r="V54" s="69"/>
      <c r="W54" s="69"/>
      <c r="X54" s="69"/>
      <c r="Y54" s="69"/>
      <c r="Z54" s="69"/>
      <c r="AA54" s="69"/>
      <c r="AB54" s="69"/>
    </row>
    <row r="55" ht="15.75" customHeight="1">
      <c r="A55" s="94">
        <v>1.0</v>
      </c>
      <c r="B55" s="95" t="s">
        <v>89</v>
      </c>
      <c r="C55" s="96" t="s">
        <v>140</v>
      </c>
      <c r="D55" s="96" t="s">
        <v>91</v>
      </c>
      <c r="E55" s="96">
        <v>2.0</v>
      </c>
      <c r="F55" s="97">
        <v>4.0</v>
      </c>
      <c r="G55" s="96">
        <v>1.0</v>
      </c>
      <c r="H55" s="99">
        <v>3.0</v>
      </c>
      <c r="I55" s="99">
        <f>H55/$M$10</f>
        <v>0.8875739645</v>
      </c>
      <c r="J55" s="99">
        <f t="shared" ref="J55:J62" si="27">I55*E55*G55</f>
        <v>1.775147929</v>
      </c>
      <c r="K55" s="77">
        <f t="shared" ref="K55:K63" si="28">F55*I55*G55</f>
        <v>3.550295858</v>
      </c>
      <c r="L55" s="49"/>
      <c r="M55" s="49"/>
      <c r="N55" s="49"/>
      <c r="O55" s="49"/>
      <c r="P55" s="78" t="s">
        <v>141</v>
      </c>
      <c r="Q55" s="79" t="s">
        <v>89</v>
      </c>
      <c r="R55" s="80">
        <f>J55+J56</f>
        <v>9.278106509</v>
      </c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ht="15.75" customHeight="1">
      <c r="A56" s="81"/>
      <c r="B56" s="81"/>
      <c r="C56" s="96" t="s">
        <v>142</v>
      </c>
      <c r="D56" s="96" t="s">
        <v>94</v>
      </c>
      <c r="E56" s="96">
        <v>2.0</v>
      </c>
      <c r="F56" s="97">
        <v>4.0</v>
      </c>
      <c r="G56" s="96">
        <v>1.0</v>
      </c>
      <c r="H56" s="99">
        <f>12.68</f>
        <v>12.68</v>
      </c>
      <c r="I56" s="99">
        <f>H56/M10</f>
        <v>3.75147929</v>
      </c>
      <c r="J56" s="99">
        <f t="shared" si="27"/>
        <v>7.50295858</v>
      </c>
      <c r="K56" s="77">
        <f t="shared" si="28"/>
        <v>15.00591716</v>
      </c>
      <c r="L56" s="49"/>
      <c r="M56" s="49"/>
      <c r="N56" s="49"/>
      <c r="O56" s="49"/>
      <c r="P56" s="90" t="s">
        <v>96</v>
      </c>
      <c r="Q56" s="79" t="s">
        <v>89</v>
      </c>
      <c r="R56" s="80">
        <f>J57+J58</f>
        <v>33.15976331</v>
      </c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ht="15.75" customHeight="1">
      <c r="A57" s="85">
        <v>2.0</v>
      </c>
      <c r="B57" s="86" t="s">
        <v>89</v>
      </c>
      <c r="C57" s="87" t="s">
        <v>140</v>
      </c>
      <c r="D57" s="87" t="s">
        <v>91</v>
      </c>
      <c r="E57" s="87">
        <v>2.0</v>
      </c>
      <c r="F57" s="88">
        <v>4.0</v>
      </c>
      <c r="G57" s="88">
        <v>6.0</v>
      </c>
      <c r="H57" s="89">
        <v>3.0</v>
      </c>
      <c r="I57" s="89">
        <f>H57/M10</f>
        <v>0.8875739645</v>
      </c>
      <c r="J57" s="89">
        <f t="shared" si="27"/>
        <v>10.65088757</v>
      </c>
      <c r="K57" s="77">
        <f t="shared" si="28"/>
        <v>21.30177515</v>
      </c>
      <c r="L57" s="49"/>
      <c r="M57" s="49"/>
      <c r="N57" s="49"/>
      <c r="O57" s="49"/>
      <c r="P57" s="81"/>
      <c r="Q57" s="93" t="s">
        <v>99</v>
      </c>
      <c r="R57" s="80">
        <f>J59</f>
        <v>0.2958579882</v>
      </c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ht="15.75" customHeight="1">
      <c r="A58" s="92"/>
      <c r="B58" s="81"/>
      <c r="C58" s="87" t="s">
        <v>142</v>
      </c>
      <c r="D58" s="87" t="s">
        <v>94</v>
      </c>
      <c r="E58" s="87">
        <v>1.0</v>
      </c>
      <c r="F58" s="88">
        <v>4.0</v>
      </c>
      <c r="G58" s="88">
        <v>6.0</v>
      </c>
      <c r="H58" s="89">
        <f>H56</f>
        <v>12.68</v>
      </c>
      <c r="I58" s="89">
        <f t="shared" ref="I58:I62" si="29">H58/$M$10</f>
        <v>3.75147929</v>
      </c>
      <c r="J58" s="89">
        <f t="shared" si="27"/>
        <v>22.50887574</v>
      </c>
      <c r="K58" s="77">
        <f t="shared" si="28"/>
        <v>90.03550296</v>
      </c>
      <c r="L58" s="49"/>
      <c r="M58" s="49"/>
      <c r="N58" s="49"/>
      <c r="O58" s="49"/>
      <c r="P58" s="90" t="s">
        <v>98</v>
      </c>
      <c r="Q58" s="79" t="s">
        <v>89</v>
      </c>
      <c r="R58" s="80">
        <f>J60+J61</f>
        <v>78.17751479</v>
      </c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ht="15.75" customHeight="1">
      <c r="A59" s="81"/>
      <c r="B59" s="87" t="s">
        <v>143</v>
      </c>
      <c r="C59" s="87" t="s">
        <v>144</v>
      </c>
      <c r="D59" s="87" t="s">
        <v>145</v>
      </c>
      <c r="E59" s="87">
        <v>1.0</v>
      </c>
      <c r="F59" s="88">
        <v>1.0</v>
      </c>
      <c r="G59" s="87">
        <v>1.0</v>
      </c>
      <c r="H59" s="89">
        <v>1.0</v>
      </c>
      <c r="I59" s="89">
        <f t="shared" si="29"/>
        <v>0.2958579882</v>
      </c>
      <c r="J59" s="89">
        <f t="shared" si="27"/>
        <v>0.2958579882</v>
      </c>
      <c r="K59" s="77">
        <f t="shared" si="28"/>
        <v>0.2958579882</v>
      </c>
      <c r="L59" s="49"/>
      <c r="M59" s="49"/>
      <c r="N59" s="49"/>
      <c r="O59" s="49"/>
      <c r="P59" s="81"/>
      <c r="Q59" s="88" t="s">
        <v>102</v>
      </c>
      <c r="R59" s="80">
        <f>J62</f>
        <v>1.479289941</v>
      </c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ht="15.75" customHeight="1">
      <c r="A60" s="147">
        <v>3.0</v>
      </c>
      <c r="B60" s="148" t="s">
        <v>89</v>
      </c>
      <c r="C60" s="149" t="s">
        <v>140</v>
      </c>
      <c r="D60" s="149" t="s">
        <v>91</v>
      </c>
      <c r="E60" s="149">
        <v>2.0</v>
      </c>
      <c r="F60" s="79">
        <v>4.0</v>
      </c>
      <c r="G60" s="149">
        <v>6.0</v>
      </c>
      <c r="H60" s="150">
        <v>3.0</v>
      </c>
      <c r="I60" s="150">
        <f t="shared" si="29"/>
        <v>0.8875739645</v>
      </c>
      <c r="J60" s="150">
        <f t="shared" si="27"/>
        <v>10.65088757</v>
      </c>
      <c r="K60" s="77">
        <f t="shared" si="28"/>
        <v>21.30177515</v>
      </c>
      <c r="L60" s="49"/>
      <c r="M60" s="49"/>
      <c r="N60" s="49"/>
      <c r="O60" s="49"/>
      <c r="P60" s="90" t="s">
        <v>104</v>
      </c>
      <c r="Q60" s="79" t="s">
        <v>89</v>
      </c>
      <c r="R60" s="80">
        <f>J63+J64</f>
        <v>145.6508876</v>
      </c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ht="15.75" customHeight="1">
      <c r="A61" s="92"/>
      <c r="B61" s="148" t="s">
        <v>89</v>
      </c>
      <c r="C61" s="149" t="s">
        <v>142</v>
      </c>
      <c r="D61" s="149" t="s">
        <v>94</v>
      </c>
      <c r="E61" s="149">
        <v>3.0</v>
      </c>
      <c r="F61" s="79">
        <v>4.0</v>
      </c>
      <c r="G61" s="149">
        <v>6.0</v>
      </c>
      <c r="H61" s="150">
        <f>H56</f>
        <v>12.68</v>
      </c>
      <c r="I61" s="150">
        <f t="shared" si="29"/>
        <v>3.75147929</v>
      </c>
      <c r="J61" s="150">
        <f t="shared" si="27"/>
        <v>67.52662722</v>
      </c>
      <c r="K61" s="77">
        <f t="shared" si="28"/>
        <v>90.03550296</v>
      </c>
      <c r="L61" s="49"/>
      <c r="M61" s="49"/>
      <c r="N61" s="49"/>
      <c r="O61" s="49"/>
      <c r="P61" s="81"/>
      <c r="Q61" s="88" t="s">
        <v>102</v>
      </c>
      <c r="R61" s="80">
        <f>J65</f>
        <v>1.479289941</v>
      </c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ht="15.75" customHeight="1">
      <c r="A62" s="81"/>
      <c r="B62" s="151" t="s">
        <v>106</v>
      </c>
      <c r="C62" s="149" t="s">
        <v>128</v>
      </c>
      <c r="D62" s="79" t="s">
        <v>29</v>
      </c>
      <c r="E62" s="149">
        <v>0.5</v>
      </c>
      <c r="F62" s="79">
        <v>3.0</v>
      </c>
      <c r="G62" s="149">
        <v>1.0</v>
      </c>
      <c r="H62" s="149">
        <v>10.0</v>
      </c>
      <c r="I62" s="150">
        <f t="shared" si="29"/>
        <v>2.958579882</v>
      </c>
      <c r="J62" s="150">
        <f t="shared" si="27"/>
        <v>1.479289941</v>
      </c>
      <c r="K62" s="77">
        <f t="shared" si="28"/>
        <v>8.875739645</v>
      </c>
      <c r="L62" s="49"/>
      <c r="M62" s="49"/>
      <c r="N62" s="49"/>
      <c r="O62" s="49"/>
      <c r="P62" s="90" t="s">
        <v>108</v>
      </c>
      <c r="Q62" s="79" t="s">
        <v>89</v>
      </c>
      <c r="R62" s="80">
        <f>J66+J67+J68+J69</f>
        <v>93.30177515</v>
      </c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ht="15.75" customHeight="1">
      <c r="A63" s="152">
        <v>4.0</v>
      </c>
      <c r="B63" s="153" t="s">
        <v>89</v>
      </c>
      <c r="C63" s="154" t="s">
        <v>140</v>
      </c>
      <c r="D63" s="155" t="s">
        <v>91</v>
      </c>
      <c r="E63" s="155">
        <v>2.0</v>
      </c>
      <c r="F63" s="153">
        <v>4.0</v>
      </c>
      <c r="G63" s="155">
        <v>6.0</v>
      </c>
      <c r="H63" s="156">
        <v>3.0</v>
      </c>
      <c r="I63" s="156">
        <v>0.8875739644970414</v>
      </c>
      <c r="J63" s="156">
        <v>10.650887573964496</v>
      </c>
      <c r="K63" s="77">
        <f t="shared" si="28"/>
        <v>21.30177515</v>
      </c>
      <c r="L63" s="49"/>
      <c r="M63" s="49"/>
      <c r="N63" s="49"/>
      <c r="O63" s="49"/>
      <c r="P63" s="92"/>
      <c r="Q63" s="93" t="s">
        <v>99</v>
      </c>
      <c r="R63" s="80">
        <f>SUM(J70:J74)</f>
        <v>16.27218935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ht="15.75" customHeight="1">
      <c r="A64" s="157"/>
      <c r="B64" s="153" t="s">
        <v>89</v>
      </c>
      <c r="C64" s="154" t="s">
        <v>142</v>
      </c>
      <c r="D64" s="155" t="s">
        <v>94</v>
      </c>
      <c r="E64" s="155">
        <v>3.0</v>
      </c>
      <c r="F64" s="153">
        <v>4.0</v>
      </c>
      <c r="G64" s="155">
        <v>6.0</v>
      </c>
      <c r="H64" s="158">
        <v>12.68</v>
      </c>
      <c r="I64" s="158">
        <v>3.75</v>
      </c>
      <c r="J64" s="156">
        <v>135.00000000000003</v>
      </c>
      <c r="K64" s="77">
        <f t="shared" ref="K64:K77" si="30">F64*G64*I64</f>
        <v>90</v>
      </c>
      <c r="L64" s="49"/>
      <c r="M64" s="49"/>
      <c r="N64" s="49"/>
      <c r="O64" s="49"/>
      <c r="P64" s="81"/>
      <c r="Q64" s="88" t="s">
        <v>102</v>
      </c>
      <c r="R64" s="80">
        <f>J75+J76+J77</f>
        <v>4.733727811</v>
      </c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ht="15.75" customHeight="1">
      <c r="A65" s="159"/>
      <c r="B65" s="155" t="s">
        <v>106</v>
      </c>
      <c r="C65" s="154" t="s">
        <v>128</v>
      </c>
      <c r="D65" s="153" t="s">
        <v>29</v>
      </c>
      <c r="E65" s="155">
        <v>0.5</v>
      </c>
      <c r="F65" s="153">
        <v>3.0</v>
      </c>
      <c r="G65" s="155">
        <v>1.0</v>
      </c>
      <c r="H65" s="156">
        <v>10.0</v>
      </c>
      <c r="I65" s="156">
        <v>2.9585798816568047</v>
      </c>
      <c r="J65" s="156">
        <v>1.4792899408284024</v>
      </c>
      <c r="K65" s="77">
        <f t="shared" si="30"/>
        <v>8.875739645</v>
      </c>
      <c r="L65" s="49"/>
      <c r="M65" s="49"/>
      <c r="N65" s="49"/>
      <c r="O65" s="49"/>
      <c r="P65" s="103" t="s">
        <v>70</v>
      </c>
      <c r="Q65" s="28"/>
      <c r="R65" s="104">
        <f>SUM(R55:R64)</f>
        <v>383.8284024</v>
      </c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160"/>
    </row>
    <row r="66" ht="15.75" customHeight="1">
      <c r="A66" s="161">
        <v>5.0</v>
      </c>
      <c r="B66" s="162" t="s">
        <v>89</v>
      </c>
      <c r="C66" s="163" t="s">
        <v>140</v>
      </c>
      <c r="D66" s="163" t="s">
        <v>91</v>
      </c>
      <c r="E66" s="163">
        <v>2.0</v>
      </c>
      <c r="F66" s="164">
        <v>4.0</v>
      </c>
      <c r="G66" s="164">
        <v>4.0</v>
      </c>
      <c r="H66" s="165">
        <v>3.0</v>
      </c>
      <c r="I66" s="166">
        <v>2.9585798816568047</v>
      </c>
      <c r="J66" s="166">
        <f t="shared" ref="J66:J77" si="31">I66*E66*G66</f>
        <v>23.66863905</v>
      </c>
      <c r="K66" s="77">
        <f t="shared" si="30"/>
        <v>47.33727811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160"/>
    </row>
    <row r="67" ht="15.75" customHeight="1">
      <c r="A67" s="92"/>
      <c r="B67" s="167"/>
      <c r="C67" s="163" t="s">
        <v>142</v>
      </c>
      <c r="D67" s="163" t="s">
        <v>94</v>
      </c>
      <c r="E67" s="163">
        <v>3.0</v>
      </c>
      <c r="F67" s="164">
        <v>4.0</v>
      </c>
      <c r="G67" s="164">
        <v>4.0</v>
      </c>
      <c r="H67" s="165">
        <v>12.68</v>
      </c>
      <c r="I67" s="166">
        <v>2.9585798816568047</v>
      </c>
      <c r="J67" s="166">
        <f t="shared" si="31"/>
        <v>35.50295858</v>
      </c>
      <c r="K67" s="77">
        <f t="shared" si="30"/>
        <v>47.33727811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160"/>
    </row>
    <row r="68" ht="15.75" customHeight="1">
      <c r="A68" s="92"/>
      <c r="B68" s="168" t="s">
        <v>89</v>
      </c>
      <c r="C68" s="163" t="s">
        <v>140</v>
      </c>
      <c r="D68" s="163" t="s">
        <v>91</v>
      </c>
      <c r="E68" s="164">
        <v>6.0</v>
      </c>
      <c r="F68" s="164">
        <v>12.0</v>
      </c>
      <c r="G68" s="164">
        <v>5.0</v>
      </c>
      <c r="H68" s="166">
        <v>3.0</v>
      </c>
      <c r="I68" s="166">
        <f t="shared" ref="I68:I77" si="32">H68/$M$10</f>
        <v>0.8875739645</v>
      </c>
      <c r="J68" s="166">
        <f t="shared" si="31"/>
        <v>26.62721893</v>
      </c>
      <c r="K68" s="77">
        <f t="shared" si="30"/>
        <v>53.25443787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160"/>
    </row>
    <row r="69" ht="15.75" customHeight="1">
      <c r="A69" s="92"/>
      <c r="B69" s="169"/>
      <c r="C69" s="170" t="s">
        <v>146</v>
      </c>
      <c r="D69" s="163" t="s">
        <v>94</v>
      </c>
      <c r="E69" s="164">
        <v>2.0</v>
      </c>
      <c r="F69" s="164">
        <v>12.0</v>
      </c>
      <c r="G69" s="164">
        <v>1.0</v>
      </c>
      <c r="H69" s="165">
        <v>12.68</v>
      </c>
      <c r="I69" s="166">
        <f t="shared" si="32"/>
        <v>3.75147929</v>
      </c>
      <c r="J69" s="166">
        <f t="shared" si="31"/>
        <v>7.50295858</v>
      </c>
      <c r="K69" s="77">
        <f t="shared" si="30"/>
        <v>45.01775148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ht="15.75" customHeight="1">
      <c r="A70" s="92"/>
      <c r="B70" s="171" t="s">
        <v>143</v>
      </c>
      <c r="C70" s="163" t="s">
        <v>147</v>
      </c>
      <c r="D70" s="172" t="s">
        <v>29</v>
      </c>
      <c r="E70" s="163">
        <v>50.0</v>
      </c>
      <c r="F70" s="164">
        <v>10000.0</v>
      </c>
      <c r="G70" s="163">
        <v>1.0</v>
      </c>
      <c r="H70" s="165">
        <v>0.42</v>
      </c>
      <c r="I70" s="166">
        <f t="shared" si="32"/>
        <v>0.124260355</v>
      </c>
      <c r="J70" s="166">
        <f t="shared" si="31"/>
        <v>6.213017751</v>
      </c>
      <c r="K70" s="77">
        <f t="shared" si="30"/>
        <v>1242.60355</v>
      </c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ht="15.75" customHeight="1">
      <c r="A71" s="92"/>
      <c r="B71" s="92"/>
      <c r="C71" s="163" t="s">
        <v>148</v>
      </c>
      <c r="D71" s="163" t="s">
        <v>149</v>
      </c>
      <c r="E71" s="163">
        <v>2.0</v>
      </c>
      <c r="F71" s="164">
        <v>227.0</v>
      </c>
      <c r="G71" s="163">
        <v>1.0</v>
      </c>
      <c r="H71" s="166">
        <v>3.0</v>
      </c>
      <c r="I71" s="166">
        <f t="shared" si="32"/>
        <v>0.8875739645</v>
      </c>
      <c r="J71" s="166">
        <f t="shared" si="31"/>
        <v>1.775147929</v>
      </c>
      <c r="K71" s="77">
        <f t="shared" si="30"/>
        <v>201.4792899</v>
      </c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ht="15.75" customHeight="1">
      <c r="A72" s="92"/>
      <c r="B72" s="92"/>
      <c r="C72" s="163" t="s">
        <v>150</v>
      </c>
      <c r="D72" s="163" t="s">
        <v>29</v>
      </c>
      <c r="E72" s="163">
        <v>50.0</v>
      </c>
      <c r="F72" s="164">
        <v>10000.0</v>
      </c>
      <c r="G72" s="163">
        <v>1.0</v>
      </c>
      <c r="H72" s="166">
        <v>0.2</v>
      </c>
      <c r="I72" s="166">
        <f t="shared" si="32"/>
        <v>0.05917159763</v>
      </c>
      <c r="J72" s="166">
        <f t="shared" si="31"/>
        <v>2.958579882</v>
      </c>
      <c r="K72" s="77">
        <f t="shared" si="30"/>
        <v>591.7159763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ht="15.75" customHeight="1">
      <c r="A73" s="92"/>
      <c r="B73" s="92"/>
      <c r="C73" s="173" t="s">
        <v>151</v>
      </c>
      <c r="D73" s="173" t="s">
        <v>29</v>
      </c>
      <c r="E73" s="170">
        <v>1.0</v>
      </c>
      <c r="F73" s="170">
        <v>113.0</v>
      </c>
      <c r="G73" s="173">
        <v>1.0</v>
      </c>
      <c r="H73" s="174">
        <v>2.0</v>
      </c>
      <c r="I73" s="174">
        <f t="shared" si="32"/>
        <v>0.5917159763</v>
      </c>
      <c r="J73" s="174">
        <f t="shared" si="31"/>
        <v>0.5917159763</v>
      </c>
      <c r="K73" s="77">
        <f t="shared" si="30"/>
        <v>66.86390533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160"/>
    </row>
    <row r="74" ht="15.75" customHeight="1">
      <c r="A74" s="92"/>
      <c r="B74" s="81"/>
      <c r="C74" s="173" t="s">
        <v>152</v>
      </c>
      <c r="D74" s="173" t="s">
        <v>29</v>
      </c>
      <c r="E74" s="173">
        <v>8.0</v>
      </c>
      <c r="F74" s="170">
        <v>1001.0</v>
      </c>
      <c r="G74" s="173">
        <v>1.0</v>
      </c>
      <c r="H74" s="174">
        <v>2.0</v>
      </c>
      <c r="I74" s="174">
        <f t="shared" si="32"/>
        <v>0.5917159763</v>
      </c>
      <c r="J74" s="174">
        <f t="shared" si="31"/>
        <v>4.733727811</v>
      </c>
      <c r="K74" s="77">
        <f t="shared" si="30"/>
        <v>592.3076923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ht="15.75" customHeight="1">
      <c r="A75" s="92"/>
      <c r="B75" s="171" t="s">
        <v>153</v>
      </c>
      <c r="C75" s="164" t="s">
        <v>154</v>
      </c>
      <c r="D75" s="173" t="s">
        <v>29</v>
      </c>
      <c r="E75" s="164">
        <v>1.0</v>
      </c>
      <c r="F75" s="164">
        <v>2.0</v>
      </c>
      <c r="G75" s="163">
        <v>1.0</v>
      </c>
      <c r="H75" s="165">
        <v>4.0</v>
      </c>
      <c r="I75" s="166">
        <f t="shared" si="32"/>
        <v>1.183431953</v>
      </c>
      <c r="J75" s="166">
        <f t="shared" si="31"/>
        <v>1.183431953</v>
      </c>
      <c r="K75" s="77">
        <f t="shared" si="30"/>
        <v>2.366863905</v>
      </c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ht="15.75" customHeight="1">
      <c r="A76" s="92"/>
      <c r="B76" s="92"/>
      <c r="C76" s="164" t="s">
        <v>155</v>
      </c>
      <c r="D76" s="173" t="s">
        <v>29</v>
      </c>
      <c r="E76" s="164">
        <v>1.0</v>
      </c>
      <c r="F76" s="164">
        <v>1.0</v>
      </c>
      <c r="G76" s="164">
        <v>1.0</v>
      </c>
      <c r="H76" s="165">
        <v>4.0</v>
      </c>
      <c r="I76" s="166">
        <f t="shared" si="32"/>
        <v>1.183431953</v>
      </c>
      <c r="J76" s="166">
        <f t="shared" si="31"/>
        <v>1.183431953</v>
      </c>
      <c r="K76" s="77">
        <f t="shared" si="30"/>
        <v>1.183431953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ht="15.75" customHeight="1">
      <c r="A77" s="81"/>
      <c r="B77" s="81"/>
      <c r="C77" s="164" t="s">
        <v>156</v>
      </c>
      <c r="D77" s="173" t="s">
        <v>29</v>
      </c>
      <c r="E77" s="164">
        <v>2.0</v>
      </c>
      <c r="F77" s="164">
        <v>4.0</v>
      </c>
      <c r="G77" s="164">
        <v>1.0</v>
      </c>
      <c r="H77" s="165">
        <v>4.0</v>
      </c>
      <c r="I77" s="166">
        <f t="shared" si="32"/>
        <v>1.183431953</v>
      </c>
      <c r="J77" s="166">
        <f t="shared" si="31"/>
        <v>2.366863905</v>
      </c>
      <c r="K77" s="77">
        <f t="shared" si="30"/>
        <v>4.733727811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ht="15.75" customHeight="1">
      <c r="A78" s="119" t="s">
        <v>157</v>
      </c>
      <c r="B78" s="53"/>
      <c r="C78" s="53"/>
      <c r="D78" s="53"/>
      <c r="E78" s="53"/>
      <c r="F78" s="53"/>
      <c r="G78" s="53"/>
      <c r="H78" s="80">
        <f t="shared" ref="H78:K78" si="33">SUM(H55:H77)</f>
        <v>134.7</v>
      </c>
      <c r="I78" s="80">
        <f t="shared" si="33"/>
        <v>41.12869822</v>
      </c>
      <c r="J78" s="80">
        <f t="shared" si="33"/>
        <v>383.8284024</v>
      </c>
      <c r="K78" s="80">
        <f t="shared" si="33"/>
        <v>3266.781065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ht="15.75" customHeight="1">
      <c r="A79" s="49"/>
      <c r="B79" s="49"/>
      <c r="C79" s="49"/>
      <c r="D79" s="49"/>
      <c r="E79" s="49"/>
      <c r="F79" s="49"/>
      <c r="G79" s="49"/>
      <c r="H79" s="50"/>
      <c r="I79" s="50"/>
      <c r="J79" s="50"/>
      <c r="K79" s="51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ht="15.75" customHeight="1">
      <c r="A80" s="49"/>
      <c r="B80" s="49"/>
      <c r="C80" s="49"/>
      <c r="D80" s="49"/>
      <c r="E80" s="49"/>
      <c r="F80" s="49"/>
      <c r="G80" s="49"/>
      <c r="H80" s="50"/>
      <c r="I80" s="50"/>
      <c r="J80" s="50"/>
      <c r="K80" s="5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ht="24.0" customHeight="1">
      <c r="A81" s="49"/>
      <c r="B81" s="49"/>
      <c r="C81" s="175" t="s">
        <v>158</v>
      </c>
      <c r="D81" s="27"/>
      <c r="E81" s="28"/>
      <c r="F81" s="49"/>
      <c r="G81" s="49"/>
      <c r="H81" s="50"/>
      <c r="I81" s="50"/>
      <c r="J81" s="50"/>
      <c r="K81" s="51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ht="18.75" customHeight="1">
      <c r="A82" s="49"/>
      <c r="B82" s="49"/>
      <c r="C82" s="176" t="s">
        <v>159</v>
      </c>
      <c r="D82" s="177">
        <f>'Rubro Mano de Obra'!G54</f>
        <v>1416.408284</v>
      </c>
      <c r="E82" s="178" t="str">
        <f t="shared" ref="E82:E84" si="34">(D82/$D$85)</f>
        <v>#REF!</v>
      </c>
      <c r="F82" s="49"/>
      <c r="G82" s="49"/>
      <c r="H82" s="50"/>
      <c r="I82" s="50"/>
      <c r="J82" s="50"/>
      <c r="K82" s="51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ht="18.75" customHeight="1">
      <c r="A83" s="49"/>
      <c r="B83" s="49"/>
      <c r="C83" s="176" t="s">
        <v>160</v>
      </c>
      <c r="D83" s="177">
        <f>'Rubro Maquinaria - Servicio'!D36</f>
        <v>76.31230769</v>
      </c>
      <c r="E83" s="178" t="str">
        <f t="shared" si="34"/>
        <v>#REF!</v>
      </c>
      <c r="F83" s="49"/>
      <c r="G83" s="49"/>
      <c r="H83" s="50"/>
      <c r="I83" s="50"/>
      <c r="J83" s="50"/>
      <c r="K83" s="5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ht="18.75" customHeight="1">
      <c r="A84" s="49"/>
      <c r="B84" s="49"/>
      <c r="C84" s="176" t="s">
        <v>161</v>
      </c>
      <c r="D84" s="179" t="str">
        <f>'Rubro Insumos'!D66</f>
        <v>#REF!</v>
      </c>
      <c r="E84" s="178" t="str">
        <f t="shared" si="34"/>
        <v>#REF!</v>
      </c>
      <c r="F84" s="49"/>
      <c r="G84" s="49"/>
      <c r="H84" s="50"/>
      <c r="I84" s="50"/>
      <c r="J84" s="50"/>
      <c r="K84" s="51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ht="24.0" customHeight="1">
      <c r="A85" s="49"/>
      <c r="B85" s="49"/>
      <c r="C85" s="180" t="s">
        <v>70</v>
      </c>
      <c r="D85" s="181" t="str">
        <f t="shared" ref="D85:E85" si="35">SUM(D82:D84)</f>
        <v>#REF!</v>
      </c>
      <c r="E85" s="182" t="str">
        <f t="shared" si="35"/>
        <v>#REF!</v>
      </c>
      <c r="F85" s="49"/>
      <c r="G85" s="49"/>
      <c r="H85" s="50"/>
      <c r="I85" s="50"/>
      <c r="J85" s="50"/>
      <c r="K85" s="51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ht="15.75" customHeight="1">
      <c r="A86" s="49"/>
      <c r="B86" s="49"/>
      <c r="C86" s="49"/>
      <c r="D86" s="49"/>
      <c r="E86" s="49"/>
      <c r="F86" s="49"/>
      <c r="G86" s="49"/>
      <c r="H86" s="50"/>
      <c r="I86" s="50"/>
      <c r="J86" s="50"/>
      <c r="K86" s="51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ht="15.75" customHeight="1">
      <c r="A87" s="49"/>
      <c r="B87" s="49"/>
      <c r="C87" s="49"/>
      <c r="D87" s="49"/>
      <c r="E87" s="49"/>
      <c r="F87" s="49"/>
      <c r="G87" s="49"/>
      <c r="H87" s="50"/>
      <c r="I87" s="50"/>
      <c r="J87" s="50"/>
      <c r="K87" s="51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ht="15.75" customHeight="1">
      <c r="A88" s="49"/>
      <c r="B88" s="49"/>
      <c r="C88" s="49"/>
      <c r="D88" s="49"/>
      <c r="E88" s="49"/>
      <c r="F88" s="49"/>
      <c r="G88" s="49"/>
      <c r="H88" s="50"/>
      <c r="I88" s="50"/>
      <c r="J88" s="50"/>
      <c r="K88" s="51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ht="27.0" customHeight="1">
      <c r="A89" s="49"/>
      <c r="B89" s="49"/>
      <c r="C89" s="183" t="s">
        <v>162</v>
      </c>
      <c r="D89" s="27"/>
      <c r="E89" s="28"/>
      <c r="F89" s="49"/>
      <c r="G89" s="49"/>
      <c r="H89" s="50"/>
      <c r="I89" s="50"/>
      <c r="J89" s="50"/>
      <c r="K89" s="51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ht="18.0" customHeight="1">
      <c r="A90" s="49"/>
      <c r="B90" s="49"/>
      <c r="C90" s="176" t="s">
        <v>159</v>
      </c>
      <c r="D90" s="177">
        <f>'Rubro Mano de Obra'!G57</f>
        <v>734.7573964</v>
      </c>
      <c r="E90" s="178" t="str">
        <f t="shared" ref="E90:E92" si="36">(D90/$D$93)</f>
        <v>#REF!</v>
      </c>
      <c r="F90" s="49"/>
      <c r="G90" s="49"/>
      <c r="H90" s="50"/>
      <c r="I90" s="50"/>
      <c r="J90" s="50"/>
      <c r="K90" s="51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ht="18.0" customHeight="1">
      <c r="A91" s="49"/>
      <c r="B91" s="49"/>
      <c r="C91" s="176" t="s">
        <v>160</v>
      </c>
      <c r="D91" s="177">
        <f>'Rubro Maquinaria - Servicio'!D40</f>
        <v>31.34573964</v>
      </c>
      <c r="E91" s="178" t="str">
        <f t="shared" si="36"/>
        <v>#REF!</v>
      </c>
      <c r="F91" s="49"/>
      <c r="G91" s="49"/>
      <c r="H91" s="50"/>
      <c r="I91" s="50"/>
      <c r="J91" s="50"/>
      <c r="K91" s="51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ht="18.0" customHeight="1">
      <c r="A92" s="49"/>
      <c r="B92" s="49"/>
      <c r="C92" s="176" t="s">
        <v>161</v>
      </c>
      <c r="D92" s="179" t="str">
        <f>'Rubro Insumos'!D69</f>
        <v>#REF!</v>
      </c>
      <c r="E92" s="178" t="str">
        <f t="shared" si="36"/>
        <v>#REF!</v>
      </c>
      <c r="F92" s="49"/>
      <c r="G92" s="49"/>
      <c r="H92" s="50"/>
      <c r="I92" s="50"/>
      <c r="J92" s="50"/>
      <c r="K92" s="51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ht="27.75" customHeight="1">
      <c r="A93" s="49"/>
      <c r="B93" s="49"/>
      <c r="C93" s="180" t="s">
        <v>70</v>
      </c>
      <c r="D93" s="184" t="str">
        <f t="shared" ref="D93:E93" si="37">SUM(D90:D92)</f>
        <v>#REF!</v>
      </c>
      <c r="E93" s="182" t="str">
        <f t="shared" si="37"/>
        <v>#REF!</v>
      </c>
      <c r="F93" s="49"/>
      <c r="G93" s="49"/>
      <c r="H93" s="50"/>
      <c r="I93" s="50"/>
      <c r="J93" s="50"/>
      <c r="K93" s="51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ht="15.75" customHeight="1">
      <c r="A94" s="49"/>
      <c r="B94" s="49"/>
      <c r="C94" s="49"/>
      <c r="D94" s="49"/>
      <c r="E94" s="49"/>
      <c r="F94" s="49"/>
      <c r="G94" s="49"/>
      <c r="H94" s="50"/>
      <c r="I94" s="50"/>
      <c r="J94" s="50"/>
      <c r="K94" s="5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ht="15.75" customHeight="1">
      <c r="A95" s="49"/>
      <c r="B95" s="49"/>
      <c r="C95" s="49"/>
      <c r="D95" s="49"/>
      <c r="E95" s="49"/>
      <c r="F95" s="49"/>
      <c r="G95" s="49"/>
      <c r="H95" s="50"/>
      <c r="I95" s="50"/>
      <c r="J95" s="50"/>
      <c r="K95" s="51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ht="15.75" customHeight="1">
      <c r="A96" s="49"/>
      <c r="B96" s="49"/>
      <c r="C96" s="49"/>
      <c r="D96" s="49"/>
      <c r="E96" s="49"/>
      <c r="F96" s="49"/>
      <c r="G96" s="49"/>
      <c r="H96" s="50"/>
      <c r="I96" s="50"/>
      <c r="J96" s="50"/>
      <c r="K96" s="51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ht="15.75" customHeight="1">
      <c r="A97" s="49"/>
      <c r="B97" s="49"/>
      <c r="C97" s="49"/>
      <c r="D97" s="49"/>
      <c r="E97" s="49"/>
      <c r="F97" s="49"/>
      <c r="G97" s="49"/>
      <c r="H97" s="50"/>
      <c r="I97" s="50"/>
      <c r="J97" s="50"/>
      <c r="K97" s="51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ht="15.75" customHeight="1">
      <c r="A98" s="49"/>
      <c r="B98" s="49"/>
      <c r="C98" s="49"/>
      <c r="D98" s="49"/>
      <c r="E98" s="49"/>
      <c r="F98" s="49"/>
      <c r="G98" s="49"/>
      <c r="H98" s="50"/>
      <c r="I98" s="50"/>
      <c r="J98" s="50"/>
      <c r="K98" s="51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ht="15.75" customHeight="1">
      <c r="A99" s="49"/>
      <c r="B99" s="49"/>
      <c r="C99" s="49"/>
      <c r="D99" s="49"/>
      <c r="E99" s="49"/>
      <c r="F99" s="49"/>
      <c r="G99" s="49"/>
      <c r="H99" s="50"/>
      <c r="I99" s="50"/>
      <c r="J99" s="50"/>
      <c r="K99" s="51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50"/>
      <c r="I100" s="50"/>
      <c r="J100" s="50"/>
      <c r="K100" s="51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50"/>
      <c r="I101" s="50"/>
      <c r="J101" s="50"/>
      <c r="K101" s="51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50"/>
      <c r="I102" s="50"/>
      <c r="J102" s="50"/>
      <c r="K102" s="51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50"/>
      <c r="I103" s="50"/>
      <c r="J103" s="50"/>
      <c r="K103" s="51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50"/>
      <c r="I104" s="50"/>
      <c r="J104" s="50"/>
      <c r="K104" s="51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50"/>
      <c r="I105" s="50"/>
      <c r="J105" s="50"/>
      <c r="K105" s="51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50"/>
      <c r="I106" s="50"/>
      <c r="J106" s="50"/>
      <c r="K106" s="51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50"/>
      <c r="I107" s="50"/>
      <c r="J107" s="50"/>
      <c r="K107" s="51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50"/>
      <c r="I108" s="50"/>
      <c r="J108" s="50"/>
      <c r="K108" s="51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50"/>
      <c r="I109" s="50"/>
      <c r="J109" s="50"/>
      <c r="K109" s="51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50"/>
      <c r="I110" s="50"/>
      <c r="J110" s="50"/>
      <c r="K110" s="51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50"/>
      <c r="I111" s="50"/>
      <c r="J111" s="50"/>
      <c r="K111" s="51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50"/>
      <c r="I112" s="50"/>
      <c r="J112" s="50"/>
      <c r="K112" s="51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50"/>
      <c r="I113" s="50"/>
      <c r="J113" s="50"/>
      <c r="K113" s="51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50"/>
      <c r="I114" s="50"/>
      <c r="J114" s="50"/>
      <c r="K114" s="51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50"/>
      <c r="I115" s="50"/>
      <c r="J115" s="50"/>
      <c r="K115" s="51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50"/>
      <c r="I116" s="50"/>
      <c r="J116" s="50"/>
      <c r="K116" s="51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50"/>
      <c r="I117" s="50"/>
      <c r="J117" s="50"/>
      <c r="K117" s="51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50"/>
      <c r="I118" s="50"/>
      <c r="J118" s="50"/>
      <c r="K118" s="51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50"/>
      <c r="I119" s="50"/>
      <c r="J119" s="50"/>
      <c r="K119" s="51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50"/>
      <c r="I120" s="50"/>
      <c r="J120" s="50"/>
      <c r="K120" s="51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50"/>
      <c r="I121" s="50"/>
      <c r="J121" s="50"/>
      <c r="K121" s="51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50"/>
      <c r="I122" s="50"/>
      <c r="J122" s="50"/>
      <c r="K122" s="51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50"/>
      <c r="I123" s="50"/>
      <c r="J123" s="50"/>
      <c r="K123" s="51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50"/>
      <c r="I124" s="50"/>
      <c r="J124" s="50"/>
      <c r="K124" s="51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50"/>
      <c r="I125" s="50"/>
      <c r="J125" s="50"/>
      <c r="K125" s="51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50"/>
      <c r="I126" s="50"/>
      <c r="J126" s="50"/>
      <c r="K126" s="51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50"/>
      <c r="I127" s="50"/>
      <c r="J127" s="50"/>
      <c r="K127" s="51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50"/>
      <c r="I128" s="50"/>
      <c r="J128" s="50"/>
      <c r="K128" s="51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50"/>
      <c r="I129" s="50"/>
      <c r="J129" s="50"/>
      <c r="K129" s="51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50"/>
      <c r="I130" s="50"/>
      <c r="J130" s="50"/>
      <c r="K130" s="51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50"/>
      <c r="I131" s="50"/>
      <c r="J131" s="50"/>
      <c r="K131" s="51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50"/>
      <c r="I132" s="50"/>
      <c r="J132" s="50"/>
      <c r="K132" s="51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50"/>
      <c r="I133" s="50"/>
      <c r="J133" s="50"/>
      <c r="K133" s="51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50"/>
      <c r="I134" s="50"/>
      <c r="J134" s="50"/>
      <c r="K134" s="51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50"/>
      <c r="I135" s="50"/>
      <c r="J135" s="50"/>
      <c r="K135" s="51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50"/>
      <c r="I136" s="50"/>
      <c r="J136" s="50"/>
      <c r="K136" s="51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50"/>
      <c r="I137" s="50"/>
      <c r="J137" s="50"/>
      <c r="K137" s="51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50"/>
      <c r="I138" s="50"/>
      <c r="J138" s="50"/>
      <c r="K138" s="51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50"/>
      <c r="I139" s="50"/>
      <c r="J139" s="50"/>
      <c r="K139" s="51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50"/>
      <c r="I140" s="50"/>
      <c r="J140" s="50"/>
      <c r="K140" s="51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50"/>
      <c r="I141" s="50"/>
      <c r="J141" s="50"/>
      <c r="K141" s="51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50"/>
      <c r="I142" s="50"/>
      <c r="J142" s="50"/>
      <c r="K142" s="51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50"/>
      <c r="I143" s="50"/>
      <c r="J143" s="50"/>
      <c r="K143" s="51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50"/>
      <c r="I144" s="50"/>
      <c r="J144" s="50"/>
      <c r="K144" s="51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50"/>
      <c r="I145" s="50"/>
      <c r="J145" s="50"/>
      <c r="K145" s="51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50"/>
      <c r="I146" s="50"/>
      <c r="J146" s="50"/>
      <c r="K146" s="51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50"/>
      <c r="I147" s="50"/>
      <c r="J147" s="50"/>
      <c r="K147" s="51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50"/>
      <c r="I148" s="50"/>
      <c r="J148" s="50"/>
      <c r="K148" s="51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50"/>
      <c r="I149" s="50"/>
      <c r="J149" s="50"/>
      <c r="K149" s="51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50"/>
      <c r="I150" s="50"/>
      <c r="J150" s="50"/>
      <c r="K150" s="51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50"/>
      <c r="I151" s="50"/>
      <c r="J151" s="50"/>
      <c r="K151" s="51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50"/>
      <c r="I152" s="50"/>
      <c r="J152" s="50"/>
      <c r="K152" s="51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50"/>
      <c r="I153" s="50"/>
      <c r="J153" s="50"/>
      <c r="K153" s="51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50"/>
      <c r="I154" s="50"/>
      <c r="J154" s="50"/>
      <c r="K154" s="51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50"/>
      <c r="I155" s="50"/>
      <c r="J155" s="50"/>
      <c r="K155" s="51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50"/>
      <c r="I156" s="50"/>
      <c r="J156" s="50"/>
      <c r="K156" s="51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50"/>
      <c r="I157" s="50"/>
      <c r="J157" s="50"/>
      <c r="K157" s="51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50"/>
      <c r="I158" s="50"/>
      <c r="J158" s="50"/>
      <c r="K158" s="51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50"/>
      <c r="I159" s="50"/>
      <c r="J159" s="50"/>
      <c r="K159" s="51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50"/>
      <c r="I160" s="50"/>
      <c r="J160" s="50"/>
      <c r="K160" s="51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50"/>
      <c r="I161" s="50"/>
      <c r="J161" s="50"/>
      <c r="K161" s="51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50"/>
      <c r="I162" s="50"/>
      <c r="J162" s="50"/>
      <c r="K162" s="51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50"/>
      <c r="I163" s="50"/>
      <c r="J163" s="50"/>
      <c r="K163" s="51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50"/>
      <c r="I164" s="50"/>
      <c r="J164" s="50"/>
      <c r="K164" s="51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50"/>
      <c r="I165" s="50"/>
      <c r="J165" s="50"/>
      <c r="K165" s="51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50"/>
      <c r="I166" s="50"/>
      <c r="J166" s="50"/>
      <c r="K166" s="51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50"/>
      <c r="I167" s="50"/>
      <c r="J167" s="50"/>
      <c r="K167" s="51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50"/>
      <c r="I168" s="50"/>
      <c r="J168" s="50"/>
      <c r="K168" s="51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50"/>
      <c r="I169" s="50"/>
      <c r="J169" s="50"/>
      <c r="K169" s="51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50"/>
      <c r="I170" s="50"/>
      <c r="J170" s="50"/>
      <c r="K170" s="51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50"/>
      <c r="I171" s="50"/>
      <c r="J171" s="50"/>
      <c r="K171" s="51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50"/>
      <c r="I172" s="50"/>
      <c r="J172" s="50"/>
      <c r="K172" s="51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50"/>
      <c r="I173" s="50"/>
      <c r="J173" s="50"/>
      <c r="K173" s="51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50"/>
      <c r="I174" s="50"/>
      <c r="J174" s="50"/>
      <c r="K174" s="51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50"/>
      <c r="I175" s="50"/>
      <c r="J175" s="50"/>
      <c r="K175" s="51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50"/>
      <c r="I176" s="50"/>
      <c r="J176" s="50"/>
      <c r="K176" s="51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50"/>
      <c r="I177" s="50"/>
      <c r="J177" s="50"/>
      <c r="K177" s="51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50"/>
      <c r="I178" s="50"/>
      <c r="J178" s="50"/>
      <c r="K178" s="51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50"/>
      <c r="I179" s="50"/>
      <c r="J179" s="50"/>
      <c r="K179" s="51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50"/>
      <c r="I180" s="50"/>
      <c r="J180" s="50"/>
      <c r="K180" s="51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50"/>
      <c r="I181" s="50"/>
      <c r="J181" s="50"/>
      <c r="K181" s="51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50"/>
      <c r="I182" s="50"/>
      <c r="J182" s="50"/>
      <c r="K182" s="51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50"/>
      <c r="I183" s="50"/>
      <c r="J183" s="50"/>
      <c r="K183" s="51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50"/>
      <c r="I184" s="50"/>
      <c r="J184" s="50"/>
      <c r="K184" s="51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50"/>
      <c r="I185" s="50"/>
      <c r="J185" s="50"/>
      <c r="K185" s="51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50"/>
      <c r="I186" s="50"/>
      <c r="J186" s="50"/>
      <c r="K186" s="51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50"/>
      <c r="I187" s="50"/>
      <c r="J187" s="50"/>
      <c r="K187" s="51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50"/>
      <c r="I188" s="50"/>
      <c r="J188" s="50"/>
      <c r="K188" s="51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50"/>
      <c r="I189" s="50"/>
      <c r="J189" s="50"/>
      <c r="K189" s="51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50"/>
      <c r="I190" s="50"/>
      <c r="J190" s="50"/>
      <c r="K190" s="51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50"/>
      <c r="I191" s="50"/>
      <c r="J191" s="50"/>
      <c r="K191" s="51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50"/>
      <c r="I192" s="50"/>
      <c r="J192" s="50"/>
      <c r="K192" s="51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50"/>
      <c r="I193" s="50"/>
      <c r="J193" s="50"/>
      <c r="K193" s="51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50"/>
      <c r="I194" s="50"/>
      <c r="J194" s="50"/>
      <c r="K194" s="51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50"/>
      <c r="I195" s="50"/>
      <c r="J195" s="50"/>
      <c r="K195" s="51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50"/>
      <c r="I196" s="50"/>
      <c r="J196" s="50"/>
      <c r="K196" s="51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50"/>
      <c r="I197" s="50"/>
      <c r="J197" s="50"/>
      <c r="K197" s="51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50"/>
      <c r="I198" s="50"/>
      <c r="J198" s="50"/>
      <c r="K198" s="51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50"/>
      <c r="I199" s="50"/>
      <c r="J199" s="50"/>
      <c r="K199" s="51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50"/>
      <c r="I200" s="50"/>
      <c r="J200" s="50"/>
      <c r="K200" s="51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50"/>
      <c r="I201" s="50"/>
      <c r="J201" s="50"/>
      <c r="K201" s="51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50"/>
      <c r="I202" s="50"/>
      <c r="J202" s="50"/>
      <c r="K202" s="51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50"/>
      <c r="I203" s="50"/>
      <c r="J203" s="50"/>
      <c r="K203" s="51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50"/>
      <c r="I204" s="50"/>
      <c r="J204" s="50"/>
      <c r="K204" s="51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50"/>
      <c r="I205" s="50"/>
      <c r="J205" s="50"/>
      <c r="K205" s="51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50"/>
      <c r="I206" s="50"/>
      <c r="J206" s="50"/>
      <c r="K206" s="51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50"/>
      <c r="I207" s="50"/>
      <c r="J207" s="50"/>
      <c r="K207" s="51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50"/>
      <c r="I208" s="50"/>
      <c r="J208" s="50"/>
      <c r="K208" s="51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50"/>
      <c r="I209" s="50"/>
      <c r="J209" s="50"/>
      <c r="K209" s="51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50"/>
      <c r="I210" s="50"/>
      <c r="J210" s="50"/>
      <c r="K210" s="51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50"/>
      <c r="I211" s="50"/>
      <c r="J211" s="50"/>
      <c r="K211" s="51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50"/>
      <c r="I212" s="50"/>
      <c r="J212" s="50"/>
      <c r="K212" s="51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50"/>
      <c r="I213" s="50"/>
      <c r="J213" s="50"/>
      <c r="K213" s="51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50"/>
      <c r="I214" s="50"/>
      <c r="J214" s="50"/>
      <c r="K214" s="51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50"/>
      <c r="I215" s="50"/>
      <c r="J215" s="50"/>
      <c r="K215" s="51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50"/>
      <c r="I216" s="50"/>
      <c r="J216" s="50"/>
      <c r="K216" s="51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50"/>
      <c r="I217" s="50"/>
      <c r="J217" s="50"/>
      <c r="K217" s="51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50"/>
      <c r="I218" s="50"/>
      <c r="J218" s="50"/>
      <c r="K218" s="51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50"/>
      <c r="I219" s="50"/>
      <c r="J219" s="50"/>
      <c r="K219" s="51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50"/>
      <c r="I220" s="50"/>
      <c r="J220" s="50"/>
      <c r="K220" s="51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50"/>
      <c r="I221" s="50"/>
      <c r="J221" s="50"/>
      <c r="K221" s="51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50"/>
      <c r="I222" s="50"/>
      <c r="J222" s="50"/>
      <c r="K222" s="51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50"/>
      <c r="I223" s="50"/>
      <c r="J223" s="50"/>
      <c r="K223" s="51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50"/>
      <c r="I224" s="50"/>
      <c r="J224" s="50"/>
      <c r="K224" s="51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50"/>
      <c r="I225" s="50"/>
      <c r="J225" s="50"/>
      <c r="K225" s="51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50"/>
      <c r="I226" s="50"/>
      <c r="J226" s="50"/>
      <c r="K226" s="51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50"/>
      <c r="I227" s="50"/>
      <c r="J227" s="50"/>
      <c r="K227" s="51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50"/>
      <c r="I228" s="50"/>
      <c r="J228" s="50"/>
      <c r="K228" s="51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50"/>
      <c r="I229" s="50"/>
      <c r="J229" s="50"/>
      <c r="K229" s="51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50"/>
      <c r="I230" s="50"/>
      <c r="J230" s="50"/>
      <c r="K230" s="51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50"/>
      <c r="I231" s="50"/>
      <c r="J231" s="50"/>
      <c r="K231" s="51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50"/>
      <c r="I232" s="50"/>
      <c r="J232" s="50"/>
      <c r="K232" s="51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50"/>
      <c r="I233" s="50"/>
      <c r="J233" s="50"/>
      <c r="K233" s="51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50"/>
      <c r="I234" s="50"/>
      <c r="J234" s="50"/>
      <c r="K234" s="51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50"/>
      <c r="I235" s="50"/>
      <c r="J235" s="50"/>
      <c r="K235" s="51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50"/>
      <c r="I236" s="50"/>
      <c r="J236" s="50"/>
      <c r="K236" s="51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50"/>
      <c r="I237" s="50"/>
      <c r="J237" s="50"/>
      <c r="K237" s="51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50"/>
      <c r="I238" s="50"/>
      <c r="J238" s="50"/>
      <c r="K238" s="51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50"/>
      <c r="I239" s="50"/>
      <c r="J239" s="50"/>
      <c r="K239" s="51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50"/>
      <c r="I240" s="50"/>
      <c r="J240" s="50"/>
      <c r="K240" s="51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50"/>
      <c r="I241" s="50"/>
      <c r="J241" s="50"/>
      <c r="K241" s="51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50"/>
      <c r="I242" s="50"/>
      <c r="J242" s="50"/>
      <c r="K242" s="51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50"/>
      <c r="I243" s="50"/>
      <c r="J243" s="50"/>
      <c r="K243" s="51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50"/>
      <c r="I244" s="50"/>
      <c r="J244" s="50"/>
      <c r="K244" s="51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50"/>
      <c r="I245" s="50"/>
      <c r="J245" s="50"/>
      <c r="K245" s="51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50"/>
      <c r="I246" s="50"/>
      <c r="J246" s="50"/>
      <c r="K246" s="51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50"/>
      <c r="I247" s="50"/>
      <c r="J247" s="50"/>
      <c r="K247" s="51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50"/>
      <c r="I248" s="50"/>
      <c r="J248" s="50"/>
      <c r="K248" s="51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50"/>
      <c r="I249" s="50"/>
      <c r="J249" s="50"/>
      <c r="K249" s="51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50"/>
      <c r="I250" s="50"/>
      <c r="J250" s="50"/>
      <c r="K250" s="51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50"/>
      <c r="I251" s="50"/>
      <c r="J251" s="50"/>
      <c r="K251" s="51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50"/>
      <c r="I252" s="50"/>
      <c r="J252" s="50"/>
      <c r="K252" s="51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50"/>
      <c r="I253" s="50"/>
      <c r="J253" s="50"/>
      <c r="K253" s="51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50"/>
      <c r="I254" s="50"/>
      <c r="J254" s="50"/>
      <c r="K254" s="51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50"/>
      <c r="I255" s="50"/>
      <c r="J255" s="50"/>
      <c r="K255" s="51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50"/>
      <c r="I256" s="50"/>
      <c r="J256" s="50"/>
      <c r="K256" s="51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50"/>
      <c r="I257" s="50"/>
      <c r="J257" s="50"/>
      <c r="K257" s="51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50"/>
      <c r="I258" s="50"/>
      <c r="J258" s="50"/>
      <c r="K258" s="51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50"/>
      <c r="I259" s="50"/>
      <c r="J259" s="50"/>
      <c r="K259" s="51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50"/>
      <c r="I260" s="50"/>
      <c r="J260" s="50"/>
      <c r="K260" s="51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50"/>
      <c r="I261" s="50"/>
      <c r="J261" s="50"/>
      <c r="K261" s="51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50"/>
      <c r="I262" s="50"/>
      <c r="J262" s="50"/>
      <c r="K262" s="51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50"/>
      <c r="I263" s="50"/>
      <c r="J263" s="50"/>
      <c r="K263" s="51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50"/>
      <c r="I264" s="50"/>
      <c r="J264" s="50"/>
      <c r="K264" s="51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50"/>
      <c r="I265" s="50"/>
      <c r="J265" s="50"/>
      <c r="K265" s="51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50"/>
      <c r="I266" s="50"/>
      <c r="J266" s="50"/>
      <c r="K266" s="51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50"/>
      <c r="I267" s="50"/>
      <c r="J267" s="50"/>
      <c r="K267" s="51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50"/>
      <c r="I268" s="50"/>
      <c r="J268" s="50"/>
      <c r="K268" s="51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50"/>
      <c r="I269" s="50"/>
      <c r="J269" s="50"/>
      <c r="K269" s="51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50"/>
      <c r="I270" s="50"/>
      <c r="J270" s="50"/>
      <c r="K270" s="51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50"/>
      <c r="I271" s="50"/>
      <c r="J271" s="50"/>
      <c r="K271" s="51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50"/>
      <c r="I272" s="50"/>
      <c r="J272" s="50"/>
      <c r="K272" s="51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50"/>
      <c r="I273" s="50"/>
      <c r="J273" s="50"/>
      <c r="K273" s="51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50"/>
      <c r="I274" s="50"/>
      <c r="J274" s="50"/>
      <c r="K274" s="51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50"/>
      <c r="I275" s="50"/>
      <c r="J275" s="50"/>
      <c r="K275" s="51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50"/>
      <c r="I276" s="50"/>
      <c r="J276" s="50"/>
      <c r="K276" s="51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50"/>
      <c r="I277" s="50"/>
      <c r="J277" s="50"/>
      <c r="K277" s="51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50"/>
      <c r="I278" s="50"/>
      <c r="J278" s="50"/>
      <c r="K278" s="51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50"/>
      <c r="I279" s="50"/>
      <c r="J279" s="50"/>
      <c r="K279" s="51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50"/>
      <c r="I280" s="50"/>
      <c r="J280" s="50"/>
      <c r="K280" s="51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50"/>
      <c r="I281" s="50"/>
      <c r="J281" s="50"/>
      <c r="K281" s="51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50"/>
      <c r="I282" s="50"/>
      <c r="J282" s="50"/>
      <c r="K282" s="51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50"/>
      <c r="I283" s="50"/>
      <c r="J283" s="50"/>
      <c r="K283" s="51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50"/>
      <c r="I284" s="50"/>
      <c r="J284" s="50"/>
      <c r="K284" s="51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50"/>
      <c r="I285" s="50"/>
      <c r="J285" s="50"/>
      <c r="K285" s="51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50"/>
      <c r="I286" s="50"/>
      <c r="J286" s="50"/>
      <c r="K286" s="51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50"/>
      <c r="I287" s="50"/>
      <c r="J287" s="50"/>
      <c r="K287" s="51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50"/>
      <c r="I288" s="50"/>
      <c r="J288" s="50"/>
      <c r="K288" s="51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50"/>
      <c r="I289" s="50"/>
      <c r="J289" s="50"/>
      <c r="K289" s="51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50"/>
      <c r="I290" s="50"/>
      <c r="J290" s="50"/>
      <c r="K290" s="51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50"/>
      <c r="I291" s="50"/>
      <c r="J291" s="50"/>
      <c r="K291" s="51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50"/>
      <c r="I292" s="50"/>
      <c r="J292" s="50"/>
      <c r="K292" s="51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50"/>
      <c r="I293" s="50"/>
      <c r="J293" s="50"/>
      <c r="K293" s="51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50"/>
      <c r="I294" s="50"/>
      <c r="J294" s="50"/>
      <c r="K294" s="51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50"/>
      <c r="I295" s="50"/>
      <c r="J295" s="50"/>
      <c r="K295" s="51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50"/>
      <c r="I296" s="50"/>
      <c r="J296" s="50"/>
      <c r="K296" s="51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50"/>
      <c r="I297" s="50"/>
      <c r="J297" s="50"/>
      <c r="K297" s="51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50"/>
      <c r="I298" s="50"/>
      <c r="J298" s="50"/>
      <c r="K298" s="51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50"/>
      <c r="I299" s="50"/>
      <c r="J299" s="50"/>
      <c r="K299" s="51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50"/>
      <c r="I300" s="50"/>
      <c r="J300" s="50"/>
      <c r="K300" s="51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50"/>
      <c r="I301" s="50"/>
      <c r="J301" s="50"/>
      <c r="K301" s="51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50"/>
      <c r="I302" s="50"/>
      <c r="J302" s="50"/>
      <c r="K302" s="51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50"/>
      <c r="I303" s="50"/>
      <c r="J303" s="50"/>
      <c r="K303" s="51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50"/>
      <c r="I304" s="50"/>
      <c r="J304" s="50"/>
      <c r="K304" s="51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50"/>
      <c r="I305" s="50"/>
      <c r="J305" s="50"/>
      <c r="K305" s="51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50"/>
      <c r="I306" s="50"/>
      <c r="J306" s="50"/>
      <c r="K306" s="51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50"/>
      <c r="I307" s="50"/>
      <c r="J307" s="50"/>
      <c r="K307" s="51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50"/>
      <c r="I308" s="50"/>
      <c r="J308" s="50"/>
      <c r="K308" s="51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50"/>
      <c r="I309" s="50"/>
      <c r="J309" s="50"/>
      <c r="K309" s="51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50"/>
      <c r="I310" s="50"/>
      <c r="J310" s="50"/>
      <c r="K310" s="51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50"/>
      <c r="I311" s="50"/>
      <c r="J311" s="50"/>
      <c r="K311" s="51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50"/>
      <c r="I312" s="50"/>
      <c r="J312" s="50"/>
      <c r="K312" s="51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50"/>
      <c r="I313" s="50"/>
      <c r="J313" s="50"/>
      <c r="K313" s="51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50"/>
      <c r="I314" s="50"/>
      <c r="J314" s="50"/>
      <c r="K314" s="51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50"/>
      <c r="I315" s="50"/>
      <c r="J315" s="50"/>
      <c r="K315" s="51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50"/>
      <c r="I316" s="50"/>
      <c r="J316" s="50"/>
      <c r="K316" s="51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50"/>
      <c r="I317" s="50"/>
      <c r="J317" s="50"/>
      <c r="K317" s="51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50"/>
      <c r="I318" s="50"/>
      <c r="J318" s="50"/>
      <c r="K318" s="51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50"/>
      <c r="I319" s="50"/>
      <c r="J319" s="50"/>
      <c r="K319" s="51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50"/>
      <c r="I320" s="50"/>
      <c r="J320" s="50"/>
      <c r="K320" s="51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50"/>
      <c r="I321" s="50"/>
      <c r="J321" s="50"/>
      <c r="K321" s="51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50"/>
      <c r="I322" s="50"/>
      <c r="J322" s="50"/>
      <c r="K322" s="51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50"/>
      <c r="I323" s="50"/>
      <c r="J323" s="50"/>
      <c r="K323" s="51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50"/>
      <c r="I324" s="50"/>
      <c r="J324" s="50"/>
      <c r="K324" s="51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50"/>
      <c r="I325" s="50"/>
      <c r="J325" s="50"/>
      <c r="K325" s="51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50"/>
      <c r="I326" s="50"/>
      <c r="J326" s="50"/>
      <c r="K326" s="51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50"/>
      <c r="I327" s="50"/>
      <c r="J327" s="50"/>
      <c r="K327" s="51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50"/>
      <c r="I328" s="50"/>
      <c r="J328" s="50"/>
      <c r="K328" s="51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50"/>
      <c r="I329" s="50"/>
      <c r="J329" s="50"/>
      <c r="K329" s="51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50"/>
      <c r="I330" s="50"/>
      <c r="J330" s="50"/>
      <c r="K330" s="51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50"/>
      <c r="I331" s="50"/>
      <c r="J331" s="50"/>
      <c r="K331" s="51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50"/>
      <c r="I332" s="50"/>
      <c r="J332" s="50"/>
      <c r="K332" s="51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50"/>
      <c r="I333" s="50"/>
      <c r="J333" s="50"/>
      <c r="K333" s="51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50"/>
      <c r="I334" s="50"/>
      <c r="J334" s="50"/>
      <c r="K334" s="51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50"/>
      <c r="I335" s="50"/>
      <c r="J335" s="50"/>
      <c r="K335" s="51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50"/>
      <c r="I336" s="50"/>
      <c r="J336" s="50"/>
      <c r="K336" s="51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50"/>
      <c r="I337" s="50"/>
      <c r="J337" s="50"/>
      <c r="K337" s="51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50"/>
      <c r="I338" s="50"/>
      <c r="J338" s="50"/>
      <c r="K338" s="51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50"/>
      <c r="I339" s="50"/>
      <c r="J339" s="50"/>
      <c r="K339" s="51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50"/>
      <c r="I340" s="50"/>
      <c r="J340" s="50"/>
      <c r="K340" s="51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50"/>
      <c r="I341" s="50"/>
      <c r="J341" s="50"/>
      <c r="K341" s="51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50"/>
      <c r="I342" s="50"/>
      <c r="J342" s="50"/>
      <c r="K342" s="51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50"/>
      <c r="I343" s="50"/>
      <c r="J343" s="50"/>
      <c r="K343" s="51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50"/>
      <c r="I344" s="50"/>
      <c r="J344" s="50"/>
      <c r="K344" s="51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50"/>
      <c r="I345" s="50"/>
      <c r="J345" s="50"/>
      <c r="K345" s="51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50"/>
      <c r="I346" s="50"/>
      <c r="J346" s="50"/>
      <c r="K346" s="51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50"/>
      <c r="I347" s="50"/>
      <c r="J347" s="50"/>
      <c r="K347" s="51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50"/>
      <c r="I348" s="50"/>
      <c r="J348" s="50"/>
      <c r="K348" s="51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50"/>
      <c r="I349" s="50"/>
      <c r="J349" s="50"/>
      <c r="K349" s="51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50"/>
      <c r="I350" s="50"/>
      <c r="J350" s="50"/>
      <c r="K350" s="51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50"/>
      <c r="I351" s="50"/>
      <c r="J351" s="50"/>
      <c r="K351" s="51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50"/>
      <c r="I352" s="50"/>
      <c r="J352" s="50"/>
      <c r="K352" s="51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50"/>
      <c r="I353" s="50"/>
      <c r="J353" s="50"/>
      <c r="K353" s="51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50"/>
      <c r="I354" s="50"/>
      <c r="J354" s="50"/>
      <c r="K354" s="51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50"/>
      <c r="I355" s="50"/>
      <c r="J355" s="50"/>
      <c r="K355" s="51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50"/>
      <c r="I356" s="50"/>
      <c r="J356" s="50"/>
      <c r="K356" s="51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50"/>
      <c r="I357" s="50"/>
      <c r="J357" s="50"/>
      <c r="K357" s="51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50"/>
      <c r="I358" s="50"/>
      <c r="J358" s="50"/>
      <c r="K358" s="51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50"/>
      <c r="I359" s="50"/>
      <c r="J359" s="50"/>
      <c r="K359" s="51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50"/>
      <c r="I360" s="50"/>
      <c r="J360" s="50"/>
      <c r="K360" s="51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50"/>
      <c r="I361" s="50"/>
      <c r="J361" s="50"/>
      <c r="K361" s="51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50"/>
      <c r="I362" s="50"/>
      <c r="J362" s="50"/>
      <c r="K362" s="51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50"/>
      <c r="I363" s="50"/>
      <c r="J363" s="50"/>
      <c r="K363" s="51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50"/>
      <c r="I364" s="50"/>
      <c r="J364" s="50"/>
      <c r="K364" s="51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50"/>
      <c r="I365" s="50"/>
      <c r="J365" s="50"/>
      <c r="K365" s="51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50"/>
      <c r="I366" s="50"/>
      <c r="J366" s="50"/>
      <c r="K366" s="51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50"/>
      <c r="I367" s="50"/>
      <c r="J367" s="50"/>
      <c r="K367" s="51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50"/>
      <c r="I368" s="50"/>
      <c r="J368" s="50"/>
      <c r="K368" s="51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50"/>
      <c r="I369" s="50"/>
      <c r="J369" s="50"/>
      <c r="K369" s="51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50"/>
      <c r="I370" s="50"/>
      <c r="J370" s="50"/>
      <c r="K370" s="51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50"/>
      <c r="I371" s="50"/>
      <c r="J371" s="50"/>
      <c r="K371" s="51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50"/>
      <c r="I372" s="50"/>
      <c r="J372" s="50"/>
      <c r="K372" s="51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50"/>
      <c r="I373" s="50"/>
      <c r="J373" s="50"/>
      <c r="K373" s="51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50"/>
      <c r="I374" s="50"/>
      <c r="J374" s="50"/>
      <c r="K374" s="51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50"/>
      <c r="I375" s="50"/>
      <c r="J375" s="50"/>
      <c r="K375" s="51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50"/>
      <c r="I376" s="50"/>
      <c r="J376" s="50"/>
      <c r="K376" s="51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50"/>
      <c r="I377" s="50"/>
      <c r="J377" s="50"/>
      <c r="K377" s="51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50"/>
      <c r="I378" s="50"/>
      <c r="J378" s="50"/>
      <c r="K378" s="51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50"/>
      <c r="I379" s="50"/>
      <c r="J379" s="50"/>
      <c r="K379" s="51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50"/>
      <c r="I380" s="50"/>
      <c r="J380" s="50"/>
      <c r="K380" s="51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50"/>
      <c r="I381" s="50"/>
      <c r="J381" s="50"/>
      <c r="K381" s="51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50"/>
      <c r="I382" s="50"/>
      <c r="J382" s="50"/>
      <c r="K382" s="51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50"/>
      <c r="I383" s="50"/>
      <c r="J383" s="50"/>
      <c r="K383" s="51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50"/>
      <c r="I384" s="50"/>
      <c r="J384" s="50"/>
      <c r="K384" s="51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50"/>
      <c r="I385" s="50"/>
      <c r="J385" s="50"/>
      <c r="K385" s="51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50"/>
      <c r="I386" s="50"/>
      <c r="J386" s="50"/>
      <c r="K386" s="51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50"/>
      <c r="I387" s="50"/>
      <c r="J387" s="50"/>
      <c r="K387" s="51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50"/>
      <c r="I388" s="50"/>
      <c r="J388" s="50"/>
      <c r="K388" s="51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50"/>
      <c r="I389" s="50"/>
      <c r="J389" s="50"/>
      <c r="K389" s="51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50"/>
      <c r="I390" s="50"/>
      <c r="J390" s="50"/>
      <c r="K390" s="51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50"/>
      <c r="I391" s="50"/>
      <c r="J391" s="50"/>
      <c r="K391" s="51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50"/>
      <c r="I392" s="50"/>
      <c r="J392" s="50"/>
      <c r="K392" s="51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50"/>
      <c r="I393" s="50"/>
      <c r="J393" s="50"/>
      <c r="K393" s="51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50"/>
      <c r="I394" s="50"/>
      <c r="J394" s="50"/>
      <c r="K394" s="51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50"/>
      <c r="I395" s="50"/>
      <c r="J395" s="50"/>
      <c r="K395" s="51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50"/>
      <c r="I396" s="50"/>
      <c r="J396" s="50"/>
      <c r="K396" s="51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50"/>
      <c r="I397" s="50"/>
      <c r="J397" s="50"/>
      <c r="K397" s="51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50"/>
      <c r="I398" s="50"/>
      <c r="J398" s="50"/>
      <c r="K398" s="51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50"/>
      <c r="I399" s="50"/>
      <c r="J399" s="50"/>
      <c r="K399" s="51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50"/>
      <c r="I400" s="50"/>
      <c r="J400" s="50"/>
      <c r="K400" s="51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50"/>
      <c r="I401" s="50"/>
      <c r="J401" s="50"/>
      <c r="K401" s="51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50"/>
      <c r="I402" s="50"/>
      <c r="J402" s="50"/>
      <c r="K402" s="51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50"/>
      <c r="I403" s="50"/>
      <c r="J403" s="50"/>
      <c r="K403" s="51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50"/>
      <c r="I404" s="50"/>
      <c r="J404" s="50"/>
      <c r="K404" s="51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50"/>
      <c r="I405" s="50"/>
      <c r="J405" s="50"/>
      <c r="K405" s="51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50"/>
      <c r="I406" s="50"/>
      <c r="J406" s="50"/>
      <c r="K406" s="51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50"/>
      <c r="I407" s="50"/>
      <c r="J407" s="50"/>
      <c r="K407" s="51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50"/>
      <c r="I408" s="50"/>
      <c r="J408" s="50"/>
      <c r="K408" s="51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50"/>
      <c r="I409" s="50"/>
      <c r="J409" s="50"/>
      <c r="K409" s="51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50"/>
      <c r="I410" s="50"/>
      <c r="J410" s="50"/>
      <c r="K410" s="51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50"/>
      <c r="I411" s="50"/>
      <c r="J411" s="50"/>
      <c r="K411" s="51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50"/>
      <c r="I412" s="50"/>
      <c r="J412" s="50"/>
      <c r="K412" s="51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50"/>
      <c r="I413" s="50"/>
      <c r="J413" s="50"/>
      <c r="K413" s="51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50"/>
      <c r="I414" s="50"/>
      <c r="J414" s="50"/>
      <c r="K414" s="51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50"/>
      <c r="I415" s="50"/>
      <c r="J415" s="50"/>
      <c r="K415" s="51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50"/>
      <c r="I416" s="50"/>
      <c r="J416" s="50"/>
      <c r="K416" s="51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50"/>
      <c r="I417" s="50"/>
      <c r="J417" s="50"/>
      <c r="K417" s="51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50"/>
      <c r="I418" s="50"/>
      <c r="J418" s="50"/>
      <c r="K418" s="51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50"/>
      <c r="I419" s="50"/>
      <c r="J419" s="50"/>
      <c r="K419" s="51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50"/>
      <c r="I420" s="50"/>
      <c r="J420" s="50"/>
      <c r="K420" s="51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50"/>
      <c r="I421" s="50"/>
      <c r="J421" s="50"/>
      <c r="K421" s="51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50"/>
      <c r="I422" s="50"/>
      <c r="J422" s="50"/>
      <c r="K422" s="51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50"/>
      <c r="I423" s="50"/>
      <c r="J423" s="50"/>
      <c r="K423" s="51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50"/>
      <c r="I424" s="50"/>
      <c r="J424" s="50"/>
      <c r="K424" s="51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50"/>
      <c r="I425" s="50"/>
      <c r="J425" s="50"/>
      <c r="K425" s="51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50"/>
      <c r="I426" s="50"/>
      <c r="J426" s="50"/>
      <c r="K426" s="51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50"/>
      <c r="I427" s="50"/>
      <c r="J427" s="50"/>
      <c r="K427" s="51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50"/>
      <c r="I428" s="50"/>
      <c r="J428" s="50"/>
      <c r="K428" s="51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50"/>
      <c r="I429" s="50"/>
      <c r="J429" s="50"/>
      <c r="K429" s="51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50"/>
      <c r="I430" s="50"/>
      <c r="J430" s="50"/>
      <c r="K430" s="51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50"/>
      <c r="I431" s="50"/>
      <c r="J431" s="50"/>
      <c r="K431" s="51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50"/>
      <c r="I432" s="50"/>
      <c r="J432" s="50"/>
      <c r="K432" s="51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50"/>
      <c r="I433" s="50"/>
      <c r="J433" s="50"/>
      <c r="K433" s="51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50"/>
      <c r="I434" s="50"/>
      <c r="J434" s="50"/>
      <c r="K434" s="51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50"/>
      <c r="I435" s="50"/>
      <c r="J435" s="50"/>
      <c r="K435" s="51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50"/>
      <c r="I436" s="50"/>
      <c r="J436" s="50"/>
      <c r="K436" s="51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50"/>
      <c r="I437" s="50"/>
      <c r="J437" s="50"/>
      <c r="K437" s="51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50"/>
      <c r="I438" s="50"/>
      <c r="J438" s="50"/>
      <c r="K438" s="51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50"/>
      <c r="I439" s="50"/>
      <c r="J439" s="50"/>
      <c r="K439" s="51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50"/>
      <c r="I440" s="50"/>
      <c r="J440" s="50"/>
      <c r="K440" s="51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50"/>
      <c r="I441" s="50"/>
      <c r="J441" s="50"/>
      <c r="K441" s="51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50"/>
      <c r="I442" s="50"/>
      <c r="J442" s="50"/>
      <c r="K442" s="51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50"/>
      <c r="I443" s="50"/>
      <c r="J443" s="50"/>
      <c r="K443" s="51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50"/>
      <c r="I444" s="50"/>
      <c r="J444" s="50"/>
      <c r="K444" s="51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50"/>
      <c r="I445" s="50"/>
      <c r="J445" s="50"/>
      <c r="K445" s="51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50"/>
      <c r="I446" s="50"/>
      <c r="J446" s="50"/>
      <c r="K446" s="51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50"/>
      <c r="I447" s="50"/>
      <c r="J447" s="50"/>
      <c r="K447" s="51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50"/>
      <c r="I448" s="50"/>
      <c r="J448" s="50"/>
      <c r="K448" s="51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50"/>
      <c r="I449" s="50"/>
      <c r="J449" s="50"/>
      <c r="K449" s="51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50"/>
      <c r="I450" s="50"/>
      <c r="J450" s="50"/>
      <c r="K450" s="51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50"/>
      <c r="I451" s="50"/>
      <c r="J451" s="50"/>
      <c r="K451" s="51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50"/>
      <c r="I452" s="50"/>
      <c r="J452" s="50"/>
      <c r="K452" s="51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50"/>
      <c r="I453" s="50"/>
      <c r="J453" s="50"/>
      <c r="K453" s="51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50"/>
      <c r="I454" s="50"/>
      <c r="J454" s="50"/>
      <c r="K454" s="51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50"/>
      <c r="I455" s="50"/>
      <c r="J455" s="50"/>
      <c r="K455" s="51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50"/>
      <c r="I456" s="50"/>
      <c r="J456" s="50"/>
      <c r="K456" s="51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50"/>
      <c r="I457" s="50"/>
      <c r="J457" s="50"/>
      <c r="K457" s="51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50"/>
      <c r="I458" s="50"/>
      <c r="J458" s="50"/>
      <c r="K458" s="51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50"/>
      <c r="I459" s="50"/>
      <c r="J459" s="50"/>
      <c r="K459" s="51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50"/>
      <c r="I460" s="50"/>
      <c r="J460" s="50"/>
      <c r="K460" s="51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50"/>
      <c r="I461" s="50"/>
      <c r="J461" s="50"/>
      <c r="K461" s="51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50"/>
      <c r="I462" s="50"/>
      <c r="J462" s="50"/>
      <c r="K462" s="51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50"/>
      <c r="I463" s="50"/>
      <c r="J463" s="50"/>
      <c r="K463" s="51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50"/>
      <c r="I464" s="50"/>
      <c r="J464" s="50"/>
      <c r="K464" s="51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50"/>
      <c r="I465" s="50"/>
      <c r="J465" s="50"/>
      <c r="K465" s="51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50"/>
      <c r="I466" s="50"/>
      <c r="J466" s="50"/>
      <c r="K466" s="51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50"/>
      <c r="I467" s="50"/>
      <c r="J467" s="50"/>
      <c r="K467" s="51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50"/>
      <c r="I468" s="50"/>
      <c r="J468" s="50"/>
      <c r="K468" s="51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50"/>
      <c r="I469" s="50"/>
      <c r="J469" s="50"/>
      <c r="K469" s="51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50"/>
      <c r="I470" s="50"/>
      <c r="J470" s="50"/>
      <c r="K470" s="51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50"/>
      <c r="I471" s="50"/>
      <c r="J471" s="50"/>
      <c r="K471" s="51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50"/>
      <c r="I472" s="50"/>
      <c r="J472" s="50"/>
      <c r="K472" s="51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50"/>
      <c r="I473" s="50"/>
      <c r="J473" s="50"/>
      <c r="K473" s="51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50"/>
      <c r="I474" s="50"/>
      <c r="J474" s="50"/>
      <c r="K474" s="51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50"/>
      <c r="I475" s="50"/>
      <c r="J475" s="50"/>
      <c r="K475" s="51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50"/>
      <c r="I476" s="50"/>
      <c r="J476" s="50"/>
      <c r="K476" s="51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50"/>
      <c r="I477" s="50"/>
      <c r="J477" s="50"/>
      <c r="K477" s="51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50"/>
      <c r="I478" s="50"/>
      <c r="J478" s="50"/>
      <c r="K478" s="51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50"/>
      <c r="I479" s="50"/>
      <c r="J479" s="50"/>
      <c r="K479" s="51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50"/>
      <c r="I480" s="50"/>
      <c r="J480" s="50"/>
      <c r="K480" s="51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50"/>
      <c r="I481" s="50"/>
      <c r="J481" s="50"/>
      <c r="K481" s="51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50"/>
      <c r="I482" s="50"/>
      <c r="J482" s="50"/>
      <c r="K482" s="51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50"/>
      <c r="I483" s="50"/>
      <c r="J483" s="50"/>
      <c r="K483" s="51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50"/>
      <c r="I484" s="50"/>
      <c r="J484" s="50"/>
      <c r="K484" s="51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50"/>
      <c r="I485" s="50"/>
      <c r="J485" s="50"/>
      <c r="K485" s="51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50"/>
      <c r="I486" s="50"/>
      <c r="J486" s="50"/>
      <c r="K486" s="51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50"/>
      <c r="I487" s="50"/>
      <c r="J487" s="50"/>
      <c r="K487" s="51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50"/>
      <c r="I488" s="50"/>
      <c r="J488" s="50"/>
      <c r="K488" s="51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50"/>
      <c r="I489" s="50"/>
      <c r="J489" s="50"/>
      <c r="K489" s="51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50"/>
      <c r="I490" s="50"/>
      <c r="J490" s="50"/>
      <c r="K490" s="51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50"/>
      <c r="I491" s="50"/>
      <c r="J491" s="50"/>
      <c r="K491" s="51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50"/>
      <c r="I492" s="50"/>
      <c r="J492" s="50"/>
      <c r="K492" s="51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50"/>
      <c r="I493" s="50"/>
      <c r="J493" s="50"/>
      <c r="K493" s="51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50"/>
      <c r="I494" s="50"/>
      <c r="J494" s="50"/>
      <c r="K494" s="51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50"/>
      <c r="I495" s="50"/>
      <c r="J495" s="50"/>
      <c r="K495" s="51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50"/>
      <c r="I496" s="50"/>
      <c r="J496" s="50"/>
      <c r="K496" s="51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50"/>
      <c r="I497" s="50"/>
      <c r="J497" s="50"/>
      <c r="K497" s="51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50"/>
      <c r="I498" s="50"/>
      <c r="J498" s="50"/>
      <c r="K498" s="51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50"/>
      <c r="I499" s="50"/>
      <c r="J499" s="50"/>
      <c r="K499" s="51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50"/>
      <c r="I500" s="50"/>
      <c r="J500" s="50"/>
      <c r="K500" s="51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50"/>
      <c r="I501" s="50"/>
      <c r="J501" s="50"/>
      <c r="K501" s="51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50"/>
      <c r="I502" s="50"/>
      <c r="J502" s="50"/>
      <c r="K502" s="51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50"/>
      <c r="I503" s="50"/>
      <c r="J503" s="50"/>
      <c r="K503" s="51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50"/>
      <c r="I504" s="50"/>
      <c r="J504" s="50"/>
      <c r="K504" s="51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50"/>
      <c r="I505" s="50"/>
      <c r="J505" s="50"/>
      <c r="K505" s="51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50"/>
      <c r="I506" s="50"/>
      <c r="J506" s="50"/>
      <c r="K506" s="51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50"/>
      <c r="I507" s="50"/>
      <c r="J507" s="50"/>
      <c r="K507" s="51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50"/>
      <c r="I508" s="50"/>
      <c r="J508" s="50"/>
      <c r="K508" s="51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50"/>
      <c r="I509" s="50"/>
      <c r="J509" s="50"/>
      <c r="K509" s="51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50"/>
      <c r="I510" s="50"/>
      <c r="J510" s="50"/>
      <c r="K510" s="51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50"/>
      <c r="I511" s="50"/>
      <c r="J511" s="50"/>
      <c r="K511" s="51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50"/>
      <c r="I512" s="50"/>
      <c r="J512" s="50"/>
      <c r="K512" s="51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50"/>
      <c r="I513" s="50"/>
      <c r="J513" s="50"/>
      <c r="K513" s="51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50"/>
      <c r="I514" s="50"/>
      <c r="J514" s="50"/>
      <c r="K514" s="51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50"/>
      <c r="I515" s="50"/>
      <c r="J515" s="50"/>
      <c r="K515" s="51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50"/>
      <c r="I516" s="50"/>
      <c r="J516" s="50"/>
      <c r="K516" s="51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50"/>
      <c r="I517" s="50"/>
      <c r="J517" s="50"/>
      <c r="K517" s="51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50"/>
      <c r="I518" s="50"/>
      <c r="J518" s="50"/>
      <c r="K518" s="51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50"/>
      <c r="I519" s="50"/>
      <c r="J519" s="50"/>
      <c r="K519" s="51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50"/>
      <c r="I520" s="50"/>
      <c r="J520" s="50"/>
      <c r="K520" s="51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50"/>
      <c r="I521" s="50"/>
      <c r="J521" s="50"/>
      <c r="K521" s="51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50"/>
      <c r="I522" s="50"/>
      <c r="J522" s="50"/>
      <c r="K522" s="51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50"/>
      <c r="I523" s="50"/>
      <c r="J523" s="50"/>
      <c r="K523" s="51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50"/>
      <c r="I524" s="50"/>
      <c r="J524" s="50"/>
      <c r="K524" s="51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50"/>
      <c r="I525" s="50"/>
      <c r="J525" s="50"/>
      <c r="K525" s="51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50"/>
      <c r="I526" s="50"/>
      <c r="J526" s="50"/>
      <c r="K526" s="51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50"/>
      <c r="I527" s="50"/>
      <c r="J527" s="50"/>
      <c r="K527" s="51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50"/>
      <c r="I528" s="50"/>
      <c r="J528" s="50"/>
      <c r="K528" s="51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50"/>
      <c r="I529" s="50"/>
      <c r="J529" s="50"/>
      <c r="K529" s="51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50"/>
      <c r="I530" s="50"/>
      <c r="J530" s="50"/>
      <c r="K530" s="51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50"/>
      <c r="I531" s="50"/>
      <c r="J531" s="50"/>
      <c r="K531" s="51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50"/>
      <c r="I532" s="50"/>
      <c r="J532" s="50"/>
      <c r="K532" s="51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50"/>
      <c r="I533" s="50"/>
      <c r="J533" s="50"/>
      <c r="K533" s="51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50"/>
      <c r="I534" s="50"/>
      <c r="J534" s="50"/>
      <c r="K534" s="51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50"/>
      <c r="I535" s="50"/>
      <c r="J535" s="50"/>
      <c r="K535" s="51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50"/>
      <c r="I536" s="50"/>
      <c r="J536" s="50"/>
      <c r="K536" s="51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50"/>
      <c r="I537" s="50"/>
      <c r="J537" s="50"/>
      <c r="K537" s="51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50"/>
      <c r="I538" s="50"/>
      <c r="J538" s="50"/>
      <c r="K538" s="51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50"/>
      <c r="I539" s="50"/>
      <c r="J539" s="50"/>
      <c r="K539" s="51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50"/>
      <c r="I540" s="50"/>
      <c r="J540" s="50"/>
      <c r="K540" s="51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50"/>
      <c r="I541" s="50"/>
      <c r="J541" s="50"/>
      <c r="K541" s="51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50"/>
      <c r="I542" s="50"/>
      <c r="J542" s="50"/>
      <c r="K542" s="51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50"/>
      <c r="I543" s="50"/>
      <c r="J543" s="50"/>
      <c r="K543" s="51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50"/>
      <c r="I544" s="50"/>
      <c r="J544" s="50"/>
      <c r="K544" s="51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50"/>
      <c r="I545" s="50"/>
      <c r="J545" s="50"/>
      <c r="K545" s="51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50"/>
      <c r="I546" s="50"/>
      <c r="J546" s="50"/>
      <c r="K546" s="51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50"/>
      <c r="I547" s="50"/>
      <c r="J547" s="50"/>
      <c r="K547" s="51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50"/>
      <c r="I548" s="50"/>
      <c r="J548" s="50"/>
      <c r="K548" s="51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50"/>
      <c r="I549" s="50"/>
      <c r="J549" s="50"/>
      <c r="K549" s="51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50"/>
      <c r="I550" s="50"/>
      <c r="J550" s="50"/>
      <c r="K550" s="51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50"/>
      <c r="I551" s="50"/>
      <c r="J551" s="50"/>
      <c r="K551" s="51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50"/>
      <c r="I552" s="50"/>
      <c r="J552" s="50"/>
      <c r="K552" s="51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50"/>
      <c r="I553" s="50"/>
      <c r="J553" s="50"/>
      <c r="K553" s="51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50"/>
      <c r="I554" s="50"/>
      <c r="J554" s="50"/>
      <c r="K554" s="51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50"/>
      <c r="I555" s="50"/>
      <c r="J555" s="50"/>
      <c r="K555" s="51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50"/>
      <c r="I556" s="50"/>
      <c r="J556" s="50"/>
      <c r="K556" s="51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50"/>
      <c r="I557" s="50"/>
      <c r="J557" s="50"/>
      <c r="K557" s="51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50"/>
      <c r="I558" s="50"/>
      <c r="J558" s="50"/>
      <c r="K558" s="51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50"/>
      <c r="I559" s="50"/>
      <c r="J559" s="50"/>
      <c r="K559" s="51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50"/>
      <c r="I560" s="50"/>
      <c r="J560" s="50"/>
      <c r="K560" s="51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50"/>
      <c r="I561" s="50"/>
      <c r="J561" s="50"/>
      <c r="K561" s="51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50"/>
      <c r="I562" s="50"/>
      <c r="J562" s="50"/>
      <c r="K562" s="51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50"/>
      <c r="I563" s="50"/>
      <c r="J563" s="50"/>
      <c r="K563" s="51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50"/>
      <c r="I564" s="50"/>
      <c r="J564" s="50"/>
      <c r="K564" s="51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50"/>
      <c r="I565" s="50"/>
      <c r="J565" s="50"/>
      <c r="K565" s="51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50"/>
      <c r="I566" s="50"/>
      <c r="J566" s="50"/>
      <c r="K566" s="51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50"/>
      <c r="I567" s="50"/>
      <c r="J567" s="50"/>
      <c r="K567" s="51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50"/>
      <c r="I568" s="50"/>
      <c r="J568" s="50"/>
      <c r="K568" s="51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50"/>
      <c r="I569" s="50"/>
      <c r="J569" s="50"/>
      <c r="K569" s="51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50"/>
      <c r="I570" s="50"/>
      <c r="J570" s="50"/>
      <c r="K570" s="51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50"/>
      <c r="I571" s="50"/>
      <c r="J571" s="50"/>
      <c r="K571" s="51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50"/>
      <c r="I572" s="50"/>
      <c r="J572" s="50"/>
      <c r="K572" s="51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50"/>
      <c r="I573" s="50"/>
      <c r="J573" s="50"/>
      <c r="K573" s="51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50"/>
      <c r="I574" s="50"/>
      <c r="J574" s="50"/>
      <c r="K574" s="51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50"/>
      <c r="I575" s="50"/>
      <c r="J575" s="50"/>
      <c r="K575" s="51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50"/>
      <c r="I576" s="50"/>
      <c r="J576" s="50"/>
      <c r="K576" s="51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50"/>
      <c r="I577" s="50"/>
      <c r="J577" s="50"/>
      <c r="K577" s="51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50"/>
      <c r="I578" s="50"/>
      <c r="J578" s="50"/>
      <c r="K578" s="51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50"/>
      <c r="I579" s="50"/>
      <c r="J579" s="50"/>
      <c r="K579" s="51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50"/>
      <c r="I580" s="50"/>
      <c r="J580" s="50"/>
      <c r="K580" s="51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50"/>
      <c r="I581" s="50"/>
      <c r="J581" s="50"/>
      <c r="K581" s="51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50"/>
      <c r="I582" s="50"/>
      <c r="J582" s="50"/>
      <c r="K582" s="51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50"/>
      <c r="I583" s="50"/>
      <c r="J583" s="50"/>
      <c r="K583" s="51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50"/>
      <c r="I584" s="50"/>
      <c r="J584" s="50"/>
      <c r="K584" s="51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50"/>
      <c r="I585" s="50"/>
      <c r="J585" s="50"/>
      <c r="K585" s="51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50"/>
      <c r="I586" s="50"/>
      <c r="J586" s="50"/>
      <c r="K586" s="51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50"/>
      <c r="I587" s="50"/>
      <c r="J587" s="50"/>
      <c r="K587" s="51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50"/>
      <c r="I588" s="50"/>
      <c r="J588" s="50"/>
      <c r="K588" s="51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50"/>
      <c r="I589" s="50"/>
      <c r="J589" s="50"/>
      <c r="K589" s="51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50"/>
      <c r="I590" s="50"/>
      <c r="J590" s="50"/>
      <c r="K590" s="51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50"/>
      <c r="I591" s="50"/>
      <c r="J591" s="50"/>
      <c r="K591" s="51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50"/>
      <c r="I592" s="50"/>
      <c r="J592" s="50"/>
      <c r="K592" s="51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50"/>
      <c r="I593" s="50"/>
      <c r="J593" s="50"/>
      <c r="K593" s="51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50"/>
      <c r="I594" s="50"/>
      <c r="J594" s="50"/>
      <c r="K594" s="51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50"/>
      <c r="I595" s="50"/>
      <c r="J595" s="50"/>
      <c r="K595" s="51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50"/>
      <c r="I596" s="50"/>
      <c r="J596" s="50"/>
      <c r="K596" s="51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50"/>
      <c r="I597" s="50"/>
      <c r="J597" s="50"/>
      <c r="K597" s="51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50"/>
      <c r="I598" s="50"/>
      <c r="J598" s="50"/>
      <c r="K598" s="51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50"/>
      <c r="I599" s="50"/>
      <c r="J599" s="50"/>
      <c r="K599" s="51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50"/>
      <c r="I600" s="50"/>
      <c r="J600" s="50"/>
      <c r="K600" s="51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50"/>
      <c r="I601" s="50"/>
      <c r="J601" s="50"/>
      <c r="K601" s="51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50"/>
      <c r="I602" s="50"/>
      <c r="J602" s="50"/>
      <c r="K602" s="51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50"/>
      <c r="I603" s="50"/>
      <c r="J603" s="50"/>
      <c r="K603" s="51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50"/>
      <c r="I604" s="50"/>
      <c r="J604" s="50"/>
      <c r="K604" s="51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50"/>
      <c r="I605" s="50"/>
      <c r="J605" s="50"/>
      <c r="K605" s="51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50"/>
      <c r="I606" s="50"/>
      <c r="J606" s="50"/>
      <c r="K606" s="51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50"/>
      <c r="I607" s="50"/>
      <c r="J607" s="50"/>
      <c r="K607" s="51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50"/>
      <c r="I608" s="50"/>
      <c r="J608" s="50"/>
      <c r="K608" s="51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50"/>
      <c r="I609" s="50"/>
      <c r="J609" s="50"/>
      <c r="K609" s="51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50"/>
      <c r="I610" s="50"/>
      <c r="J610" s="50"/>
      <c r="K610" s="51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50"/>
      <c r="I611" s="50"/>
      <c r="J611" s="50"/>
      <c r="K611" s="51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50"/>
      <c r="I612" s="50"/>
      <c r="J612" s="50"/>
      <c r="K612" s="51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50"/>
      <c r="I613" s="50"/>
      <c r="J613" s="50"/>
      <c r="K613" s="51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50"/>
      <c r="I614" s="50"/>
      <c r="J614" s="50"/>
      <c r="K614" s="51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50"/>
      <c r="I615" s="50"/>
      <c r="J615" s="50"/>
      <c r="K615" s="51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50"/>
      <c r="I616" s="50"/>
      <c r="J616" s="50"/>
      <c r="K616" s="51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50"/>
      <c r="I617" s="50"/>
      <c r="J617" s="50"/>
      <c r="K617" s="51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50"/>
      <c r="I618" s="50"/>
      <c r="J618" s="50"/>
      <c r="K618" s="51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50"/>
      <c r="I619" s="50"/>
      <c r="J619" s="50"/>
      <c r="K619" s="51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50"/>
      <c r="I620" s="50"/>
      <c r="J620" s="50"/>
      <c r="K620" s="51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50"/>
      <c r="I621" s="50"/>
      <c r="J621" s="50"/>
      <c r="K621" s="51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50"/>
      <c r="I622" s="50"/>
      <c r="J622" s="50"/>
      <c r="K622" s="51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50"/>
      <c r="I623" s="50"/>
      <c r="J623" s="50"/>
      <c r="K623" s="51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50"/>
      <c r="I624" s="50"/>
      <c r="J624" s="50"/>
      <c r="K624" s="51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50"/>
      <c r="I625" s="50"/>
      <c r="J625" s="50"/>
      <c r="K625" s="51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50"/>
      <c r="I626" s="50"/>
      <c r="J626" s="50"/>
      <c r="K626" s="51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50"/>
      <c r="I627" s="50"/>
      <c r="J627" s="50"/>
      <c r="K627" s="51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50"/>
      <c r="I628" s="50"/>
      <c r="J628" s="50"/>
      <c r="K628" s="51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50"/>
      <c r="I629" s="50"/>
      <c r="J629" s="50"/>
      <c r="K629" s="51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50"/>
      <c r="I630" s="50"/>
      <c r="J630" s="50"/>
      <c r="K630" s="51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50"/>
      <c r="I631" s="50"/>
      <c r="J631" s="50"/>
      <c r="K631" s="51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50"/>
      <c r="I632" s="50"/>
      <c r="J632" s="50"/>
      <c r="K632" s="51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50"/>
      <c r="I633" s="50"/>
      <c r="J633" s="50"/>
      <c r="K633" s="51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50"/>
      <c r="I634" s="50"/>
      <c r="J634" s="50"/>
      <c r="K634" s="51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50"/>
      <c r="I635" s="50"/>
      <c r="J635" s="50"/>
      <c r="K635" s="51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50"/>
      <c r="I636" s="50"/>
      <c r="J636" s="50"/>
      <c r="K636" s="51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50"/>
      <c r="I637" s="50"/>
      <c r="J637" s="50"/>
      <c r="K637" s="51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50"/>
      <c r="I638" s="50"/>
      <c r="J638" s="50"/>
      <c r="K638" s="51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50"/>
      <c r="I639" s="50"/>
      <c r="J639" s="50"/>
      <c r="K639" s="51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50"/>
      <c r="I640" s="50"/>
      <c r="J640" s="50"/>
      <c r="K640" s="51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50"/>
      <c r="I641" s="50"/>
      <c r="J641" s="50"/>
      <c r="K641" s="51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50"/>
      <c r="I642" s="50"/>
      <c r="J642" s="50"/>
      <c r="K642" s="51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50"/>
      <c r="I643" s="50"/>
      <c r="J643" s="50"/>
      <c r="K643" s="51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50"/>
      <c r="I644" s="50"/>
      <c r="J644" s="50"/>
      <c r="K644" s="51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50"/>
      <c r="I645" s="50"/>
      <c r="J645" s="50"/>
      <c r="K645" s="51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50"/>
      <c r="I646" s="50"/>
      <c r="J646" s="50"/>
      <c r="K646" s="51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50"/>
      <c r="I647" s="50"/>
      <c r="J647" s="50"/>
      <c r="K647" s="51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50"/>
      <c r="I648" s="50"/>
      <c r="J648" s="50"/>
      <c r="K648" s="51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50"/>
      <c r="I649" s="50"/>
      <c r="J649" s="50"/>
      <c r="K649" s="51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50"/>
      <c r="I650" s="50"/>
      <c r="J650" s="50"/>
      <c r="K650" s="51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50"/>
      <c r="I651" s="50"/>
      <c r="J651" s="50"/>
      <c r="K651" s="51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50"/>
      <c r="I652" s="50"/>
      <c r="J652" s="50"/>
      <c r="K652" s="51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50"/>
      <c r="I653" s="50"/>
      <c r="J653" s="50"/>
      <c r="K653" s="51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50"/>
      <c r="I654" s="50"/>
      <c r="J654" s="50"/>
      <c r="K654" s="51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50"/>
      <c r="I655" s="50"/>
      <c r="J655" s="50"/>
      <c r="K655" s="51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50"/>
      <c r="I656" s="50"/>
      <c r="J656" s="50"/>
      <c r="K656" s="51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50"/>
      <c r="I657" s="50"/>
      <c r="J657" s="50"/>
      <c r="K657" s="51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50"/>
      <c r="I658" s="50"/>
      <c r="J658" s="50"/>
      <c r="K658" s="51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50"/>
      <c r="I659" s="50"/>
      <c r="J659" s="50"/>
      <c r="K659" s="51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50"/>
      <c r="I660" s="50"/>
      <c r="J660" s="50"/>
      <c r="K660" s="51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50"/>
      <c r="I661" s="50"/>
      <c r="J661" s="50"/>
      <c r="K661" s="51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50"/>
      <c r="I662" s="50"/>
      <c r="J662" s="50"/>
      <c r="K662" s="51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50"/>
      <c r="I663" s="50"/>
      <c r="J663" s="50"/>
      <c r="K663" s="51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50"/>
      <c r="I664" s="50"/>
      <c r="J664" s="50"/>
      <c r="K664" s="51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50"/>
      <c r="I665" s="50"/>
      <c r="J665" s="50"/>
      <c r="K665" s="51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50"/>
      <c r="I666" s="50"/>
      <c r="J666" s="50"/>
      <c r="K666" s="51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50"/>
      <c r="I667" s="50"/>
      <c r="J667" s="50"/>
      <c r="K667" s="51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50"/>
      <c r="I668" s="50"/>
      <c r="J668" s="50"/>
      <c r="K668" s="51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50"/>
      <c r="I669" s="50"/>
      <c r="J669" s="50"/>
      <c r="K669" s="51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50"/>
      <c r="I670" s="50"/>
      <c r="J670" s="50"/>
      <c r="K670" s="51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50"/>
      <c r="I671" s="50"/>
      <c r="J671" s="50"/>
      <c r="K671" s="51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50"/>
      <c r="I672" s="50"/>
      <c r="J672" s="50"/>
      <c r="K672" s="51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50"/>
      <c r="I673" s="50"/>
      <c r="J673" s="50"/>
      <c r="K673" s="51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50"/>
      <c r="I674" s="50"/>
      <c r="J674" s="50"/>
      <c r="K674" s="51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50"/>
      <c r="I675" s="50"/>
      <c r="J675" s="50"/>
      <c r="K675" s="51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50"/>
      <c r="I676" s="50"/>
      <c r="J676" s="50"/>
      <c r="K676" s="51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50"/>
      <c r="I677" s="50"/>
      <c r="J677" s="50"/>
      <c r="K677" s="51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50"/>
      <c r="I678" s="50"/>
      <c r="J678" s="50"/>
      <c r="K678" s="51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50"/>
      <c r="I679" s="50"/>
      <c r="J679" s="50"/>
      <c r="K679" s="51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50"/>
      <c r="I680" s="50"/>
      <c r="J680" s="50"/>
      <c r="K680" s="51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50"/>
      <c r="I681" s="50"/>
      <c r="J681" s="50"/>
      <c r="K681" s="51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50"/>
      <c r="I682" s="50"/>
      <c r="J682" s="50"/>
      <c r="K682" s="51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50"/>
      <c r="I683" s="50"/>
      <c r="J683" s="50"/>
      <c r="K683" s="51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50"/>
      <c r="I684" s="50"/>
      <c r="J684" s="50"/>
      <c r="K684" s="51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50"/>
      <c r="I685" s="50"/>
      <c r="J685" s="50"/>
      <c r="K685" s="51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50"/>
      <c r="I686" s="50"/>
      <c r="J686" s="50"/>
      <c r="K686" s="51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50"/>
      <c r="I687" s="50"/>
      <c r="J687" s="50"/>
      <c r="K687" s="51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50"/>
      <c r="I688" s="50"/>
      <c r="J688" s="50"/>
      <c r="K688" s="51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50"/>
      <c r="I689" s="50"/>
      <c r="J689" s="50"/>
      <c r="K689" s="51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50"/>
      <c r="I690" s="50"/>
      <c r="J690" s="50"/>
      <c r="K690" s="51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50"/>
      <c r="I691" s="50"/>
      <c r="J691" s="50"/>
      <c r="K691" s="51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50"/>
      <c r="I692" s="50"/>
      <c r="J692" s="50"/>
      <c r="K692" s="51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50"/>
      <c r="I693" s="50"/>
      <c r="J693" s="50"/>
      <c r="K693" s="51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50"/>
      <c r="I694" s="50"/>
      <c r="J694" s="50"/>
      <c r="K694" s="51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50"/>
      <c r="I695" s="50"/>
      <c r="J695" s="50"/>
      <c r="K695" s="51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50"/>
      <c r="I696" s="50"/>
      <c r="J696" s="50"/>
      <c r="K696" s="51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50"/>
      <c r="I697" s="50"/>
      <c r="J697" s="50"/>
      <c r="K697" s="51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50"/>
      <c r="I698" s="50"/>
      <c r="J698" s="50"/>
      <c r="K698" s="51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50"/>
      <c r="I699" s="50"/>
      <c r="J699" s="50"/>
      <c r="K699" s="51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50"/>
      <c r="I700" s="50"/>
      <c r="J700" s="50"/>
      <c r="K700" s="51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50"/>
      <c r="I701" s="50"/>
      <c r="J701" s="50"/>
      <c r="K701" s="51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50"/>
      <c r="I702" s="50"/>
      <c r="J702" s="50"/>
      <c r="K702" s="51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50"/>
      <c r="I703" s="50"/>
      <c r="J703" s="50"/>
      <c r="K703" s="51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50"/>
      <c r="I704" s="50"/>
      <c r="J704" s="50"/>
      <c r="K704" s="51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50"/>
      <c r="I705" s="50"/>
      <c r="J705" s="50"/>
      <c r="K705" s="51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50"/>
      <c r="I706" s="50"/>
      <c r="J706" s="50"/>
      <c r="K706" s="51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50"/>
      <c r="I707" s="50"/>
      <c r="J707" s="50"/>
      <c r="K707" s="51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50"/>
      <c r="I708" s="50"/>
      <c r="J708" s="50"/>
      <c r="K708" s="51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50"/>
      <c r="I709" s="50"/>
      <c r="J709" s="50"/>
      <c r="K709" s="51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50"/>
      <c r="I710" s="50"/>
      <c r="J710" s="50"/>
      <c r="K710" s="51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50"/>
      <c r="I711" s="50"/>
      <c r="J711" s="50"/>
      <c r="K711" s="51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50"/>
      <c r="I712" s="50"/>
      <c r="J712" s="50"/>
      <c r="K712" s="51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50"/>
      <c r="I713" s="50"/>
      <c r="J713" s="50"/>
      <c r="K713" s="51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50"/>
      <c r="I714" s="50"/>
      <c r="J714" s="50"/>
      <c r="K714" s="51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50"/>
      <c r="I715" s="50"/>
      <c r="J715" s="50"/>
      <c r="K715" s="51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50"/>
      <c r="I716" s="50"/>
      <c r="J716" s="50"/>
      <c r="K716" s="51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50"/>
      <c r="I717" s="50"/>
      <c r="J717" s="50"/>
      <c r="K717" s="51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50"/>
      <c r="I718" s="50"/>
      <c r="J718" s="50"/>
      <c r="K718" s="51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50"/>
      <c r="I719" s="50"/>
      <c r="J719" s="50"/>
      <c r="K719" s="51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50"/>
      <c r="I720" s="50"/>
      <c r="J720" s="50"/>
      <c r="K720" s="51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50"/>
      <c r="I721" s="50"/>
      <c r="J721" s="50"/>
      <c r="K721" s="51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50"/>
      <c r="I722" s="50"/>
      <c r="J722" s="50"/>
      <c r="K722" s="51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50"/>
      <c r="I723" s="50"/>
      <c r="J723" s="50"/>
      <c r="K723" s="51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50"/>
      <c r="I724" s="50"/>
      <c r="J724" s="50"/>
      <c r="K724" s="51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50"/>
      <c r="I725" s="50"/>
      <c r="J725" s="50"/>
      <c r="K725" s="51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50"/>
      <c r="I726" s="50"/>
      <c r="J726" s="50"/>
      <c r="K726" s="51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50"/>
      <c r="I727" s="50"/>
      <c r="J727" s="50"/>
      <c r="K727" s="51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50"/>
      <c r="I728" s="50"/>
      <c r="J728" s="50"/>
      <c r="K728" s="51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50"/>
      <c r="I729" s="50"/>
      <c r="J729" s="50"/>
      <c r="K729" s="51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50"/>
      <c r="I730" s="50"/>
      <c r="J730" s="50"/>
      <c r="K730" s="51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50"/>
      <c r="I731" s="50"/>
      <c r="J731" s="50"/>
      <c r="K731" s="51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50"/>
      <c r="I732" s="50"/>
      <c r="J732" s="50"/>
      <c r="K732" s="51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50"/>
      <c r="I733" s="50"/>
      <c r="J733" s="50"/>
      <c r="K733" s="51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50"/>
      <c r="I734" s="50"/>
      <c r="J734" s="50"/>
      <c r="K734" s="51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50"/>
      <c r="I735" s="50"/>
      <c r="J735" s="50"/>
      <c r="K735" s="51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50"/>
      <c r="I736" s="50"/>
      <c r="J736" s="50"/>
      <c r="K736" s="51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50"/>
      <c r="I737" s="50"/>
      <c r="J737" s="50"/>
      <c r="K737" s="51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50"/>
      <c r="I738" s="50"/>
      <c r="J738" s="50"/>
      <c r="K738" s="51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50"/>
      <c r="I739" s="50"/>
      <c r="J739" s="50"/>
      <c r="K739" s="51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50"/>
      <c r="I740" s="50"/>
      <c r="J740" s="50"/>
      <c r="K740" s="51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50"/>
      <c r="I741" s="50"/>
      <c r="J741" s="50"/>
      <c r="K741" s="51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50"/>
      <c r="I742" s="50"/>
      <c r="J742" s="50"/>
      <c r="K742" s="51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50"/>
      <c r="I743" s="50"/>
      <c r="J743" s="50"/>
      <c r="K743" s="51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50"/>
      <c r="I744" s="50"/>
      <c r="J744" s="50"/>
      <c r="K744" s="51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50"/>
      <c r="I745" s="50"/>
      <c r="J745" s="50"/>
      <c r="K745" s="51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50"/>
      <c r="I746" s="50"/>
      <c r="J746" s="50"/>
      <c r="K746" s="51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50"/>
      <c r="I747" s="50"/>
      <c r="J747" s="50"/>
      <c r="K747" s="51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50"/>
      <c r="I748" s="50"/>
      <c r="J748" s="50"/>
      <c r="K748" s="51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50"/>
      <c r="I749" s="50"/>
      <c r="J749" s="50"/>
      <c r="K749" s="51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50"/>
      <c r="I750" s="50"/>
      <c r="J750" s="50"/>
      <c r="K750" s="51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50"/>
      <c r="I751" s="50"/>
      <c r="J751" s="50"/>
      <c r="K751" s="51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50"/>
      <c r="I752" s="50"/>
      <c r="J752" s="50"/>
      <c r="K752" s="51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50"/>
      <c r="I753" s="50"/>
      <c r="J753" s="50"/>
      <c r="K753" s="51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50"/>
      <c r="I754" s="50"/>
      <c r="J754" s="50"/>
      <c r="K754" s="51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50"/>
      <c r="I755" s="50"/>
      <c r="J755" s="50"/>
      <c r="K755" s="51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50"/>
      <c r="I756" s="50"/>
      <c r="J756" s="50"/>
      <c r="K756" s="51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50"/>
      <c r="I757" s="50"/>
      <c r="J757" s="50"/>
      <c r="K757" s="51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50"/>
      <c r="I758" s="50"/>
      <c r="J758" s="50"/>
      <c r="K758" s="51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50"/>
      <c r="I759" s="50"/>
      <c r="J759" s="50"/>
      <c r="K759" s="51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50"/>
      <c r="I760" s="50"/>
      <c r="J760" s="50"/>
      <c r="K760" s="51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50"/>
      <c r="I761" s="50"/>
      <c r="J761" s="50"/>
      <c r="K761" s="51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50"/>
      <c r="I762" s="50"/>
      <c r="J762" s="50"/>
      <c r="K762" s="51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50"/>
      <c r="I763" s="50"/>
      <c r="J763" s="50"/>
      <c r="K763" s="51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50"/>
      <c r="I764" s="50"/>
      <c r="J764" s="50"/>
      <c r="K764" s="51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50"/>
      <c r="I765" s="50"/>
      <c r="J765" s="50"/>
      <c r="K765" s="51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50"/>
      <c r="I766" s="50"/>
      <c r="J766" s="50"/>
      <c r="K766" s="51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50"/>
      <c r="I767" s="50"/>
      <c r="J767" s="50"/>
      <c r="K767" s="51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50"/>
      <c r="I768" s="50"/>
      <c r="J768" s="50"/>
      <c r="K768" s="51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50"/>
      <c r="I769" s="50"/>
      <c r="J769" s="50"/>
      <c r="K769" s="51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50"/>
      <c r="I770" s="50"/>
      <c r="J770" s="50"/>
      <c r="K770" s="51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50"/>
      <c r="I771" s="50"/>
      <c r="J771" s="50"/>
      <c r="K771" s="51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50"/>
      <c r="I772" s="50"/>
      <c r="J772" s="50"/>
      <c r="K772" s="51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50"/>
      <c r="I773" s="50"/>
      <c r="J773" s="50"/>
      <c r="K773" s="51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50"/>
      <c r="I774" s="50"/>
      <c r="J774" s="50"/>
      <c r="K774" s="51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50"/>
      <c r="I775" s="50"/>
      <c r="J775" s="50"/>
      <c r="K775" s="51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50"/>
      <c r="I776" s="50"/>
      <c r="J776" s="50"/>
      <c r="K776" s="51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50"/>
      <c r="I777" s="50"/>
      <c r="J777" s="50"/>
      <c r="K777" s="51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50"/>
      <c r="I778" s="50"/>
      <c r="J778" s="50"/>
      <c r="K778" s="51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50"/>
      <c r="I779" s="50"/>
      <c r="J779" s="50"/>
      <c r="K779" s="51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50"/>
      <c r="I780" s="50"/>
      <c r="J780" s="50"/>
      <c r="K780" s="51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50"/>
      <c r="I781" s="50"/>
      <c r="J781" s="50"/>
      <c r="K781" s="51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50"/>
      <c r="I782" s="50"/>
      <c r="J782" s="50"/>
      <c r="K782" s="51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50"/>
      <c r="I783" s="50"/>
      <c r="J783" s="50"/>
      <c r="K783" s="51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50"/>
      <c r="I784" s="50"/>
      <c r="J784" s="50"/>
      <c r="K784" s="51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50"/>
      <c r="I785" s="50"/>
      <c r="J785" s="50"/>
      <c r="K785" s="51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50"/>
      <c r="I786" s="50"/>
      <c r="J786" s="50"/>
      <c r="K786" s="51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50"/>
      <c r="I787" s="50"/>
      <c r="J787" s="50"/>
      <c r="K787" s="51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50"/>
      <c r="I788" s="50"/>
      <c r="J788" s="50"/>
      <c r="K788" s="51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50"/>
      <c r="I789" s="50"/>
      <c r="J789" s="50"/>
      <c r="K789" s="51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50"/>
      <c r="I790" s="50"/>
      <c r="J790" s="50"/>
      <c r="K790" s="51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50"/>
      <c r="I791" s="50"/>
      <c r="J791" s="50"/>
      <c r="K791" s="51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50"/>
      <c r="I792" s="50"/>
      <c r="J792" s="50"/>
      <c r="K792" s="51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50"/>
      <c r="I793" s="50"/>
      <c r="J793" s="50"/>
      <c r="K793" s="51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50"/>
      <c r="I794" s="50"/>
      <c r="J794" s="50"/>
      <c r="K794" s="51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50"/>
      <c r="I795" s="50"/>
      <c r="J795" s="50"/>
      <c r="K795" s="51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50"/>
      <c r="I796" s="50"/>
      <c r="J796" s="50"/>
      <c r="K796" s="51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50"/>
      <c r="I797" s="50"/>
      <c r="J797" s="50"/>
      <c r="K797" s="51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50"/>
      <c r="I798" s="50"/>
      <c r="J798" s="50"/>
      <c r="K798" s="51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50"/>
      <c r="I799" s="50"/>
      <c r="J799" s="50"/>
      <c r="K799" s="51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50"/>
      <c r="I800" s="50"/>
      <c r="J800" s="50"/>
      <c r="K800" s="51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50"/>
      <c r="I801" s="50"/>
      <c r="J801" s="50"/>
      <c r="K801" s="51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50"/>
      <c r="I802" s="50"/>
      <c r="J802" s="50"/>
      <c r="K802" s="51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50"/>
      <c r="I803" s="50"/>
      <c r="J803" s="50"/>
      <c r="K803" s="51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50"/>
      <c r="I804" s="50"/>
      <c r="J804" s="50"/>
      <c r="K804" s="51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50"/>
      <c r="I805" s="50"/>
      <c r="J805" s="50"/>
      <c r="K805" s="51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50"/>
      <c r="I806" s="50"/>
      <c r="J806" s="50"/>
      <c r="K806" s="51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50"/>
      <c r="I807" s="50"/>
      <c r="J807" s="50"/>
      <c r="K807" s="51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50"/>
      <c r="I808" s="50"/>
      <c r="J808" s="50"/>
      <c r="K808" s="51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50"/>
      <c r="I809" s="50"/>
      <c r="J809" s="50"/>
      <c r="K809" s="51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50"/>
      <c r="I810" s="50"/>
      <c r="J810" s="50"/>
      <c r="K810" s="51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50"/>
      <c r="I811" s="50"/>
      <c r="J811" s="50"/>
      <c r="K811" s="51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50"/>
      <c r="I812" s="50"/>
      <c r="J812" s="50"/>
      <c r="K812" s="51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50"/>
      <c r="I813" s="50"/>
      <c r="J813" s="50"/>
      <c r="K813" s="51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50"/>
      <c r="I814" s="50"/>
      <c r="J814" s="50"/>
      <c r="K814" s="51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50"/>
      <c r="I815" s="50"/>
      <c r="J815" s="50"/>
      <c r="K815" s="51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50"/>
      <c r="I816" s="50"/>
      <c r="J816" s="50"/>
      <c r="K816" s="51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50"/>
      <c r="I817" s="50"/>
      <c r="J817" s="50"/>
      <c r="K817" s="51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50"/>
      <c r="I818" s="50"/>
      <c r="J818" s="50"/>
      <c r="K818" s="51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50"/>
      <c r="I819" s="50"/>
      <c r="J819" s="50"/>
      <c r="K819" s="51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50"/>
      <c r="I820" s="50"/>
      <c r="J820" s="50"/>
      <c r="K820" s="51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50"/>
      <c r="I821" s="50"/>
      <c r="J821" s="50"/>
      <c r="K821" s="51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50"/>
      <c r="I822" s="50"/>
      <c r="J822" s="50"/>
      <c r="K822" s="51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50"/>
      <c r="I823" s="50"/>
      <c r="J823" s="50"/>
      <c r="K823" s="51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50"/>
      <c r="I824" s="50"/>
      <c r="J824" s="50"/>
      <c r="K824" s="51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50"/>
      <c r="I825" s="50"/>
      <c r="J825" s="50"/>
      <c r="K825" s="51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50"/>
      <c r="I826" s="50"/>
      <c r="J826" s="50"/>
      <c r="K826" s="51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50"/>
      <c r="I827" s="50"/>
      <c r="J827" s="50"/>
      <c r="K827" s="51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50"/>
      <c r="I828" s="50"/>
      <c r="J828" s="50"/>
      <c r="K828" s="51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50"/>
      <c r="I829" s="50"/>
      <c r="J829" s="50"/>
      <c r="K829" s="51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50"/>
      <c r="I830" s="50"/>
      <c r="J830" s="50"/>
      <c r="K830" s="51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50"/>
      <c r="I831" s="50"/>
      <c r="J831" s="50"/>
      <c r="K831" s="51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50"/>
      <c r="I832" s="50"/>
      <c r="J832" s="50"/>
      <c r="K832" s="51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50"/>
      <c r="I833" s="50"/>
      <c r="J833" s="50"/>
      <c r="K833" s="51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50"/>
      <c r="I834" s="50"/>
      <c r="J834" s="50"/>
      <c r="K834" s="51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50"/>
      <c r="I835" s="50"/>
      <c r="J835" s="50"/>
      <c r="K835" s="51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50"/>
      <c r="I836" s="50"/>
      <c r="J836" s="50"/>
      <c r="K836" s="51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50"/>
      <c r="I837" s="50"/>
      <c r="J837" s="50"/>
      <c r="K837" s="51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50"/>
      <c r="I838" s="50"/>
      <c r="J838" s="50"/>
      <c r="K838" s="51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50"/>
      <c r="I839" s="50"/>
      <c r="J839" s="50"/>
      <c r="K839" s="51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50"/>
      <c r="I840" s="50"/>
      <c r="J840" s="50"/>
      <c r="K840" s="51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50"/>
      <c r="I841" s="50"/>
      <c r="J841" s="50"/>
      <c r="K841" s="51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50"/>
      <c r="I842" s="50"/>
      <c r="J842" s="50"/>
      <c r="K842" s="51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50"/>
      <c r="I843" s="50"/>
      <c r="J843" s="50"/>
      <c r="K843" s="51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50"/>
      <c r="I844" s="50"/>
      <c r="J844" s="50"/>
      <c r="K844" s="51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50"/>
      <c r="I845" s="50"/>
      <c r="J845" s="50"/>
      <c r="K845" s="51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50"/>
      <c r="I846" s="50"/>
      <c r="J846" s="50"/>
      <c r="K846" s="51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50"/>
      <c r="I847" s="50"/>
      <c r="J847" s="50"/>
      <c r="K847" s="51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50"/>
      <c r="I848" s="50"/>
      <c r="J848" s="50"/>
      <c r="K848" s="51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50"/>
      <c r="I849" s="50"/>
      <c r="J849" s="50"/>
      <c r="K849" s="51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50"/>
      <c r="I850" s="50"/>
      <c r="J850" s="50"/>
      <c r="K850" s="51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50"/>
      <c r="I851" s="50"/>
      <c r="J851" s="50"/>
      <c r="K851" s="51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50"/>
      <c r="I852" s="50"/>
      <c r="J852" s="50"/>
      <c r="K852" s="51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50"/>
      <c r="I853" s="50"/>
      <c r="J853" s="50"/>
      <c r="K853" s="51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50"/>
      <c r="I854" s="50"/>
      <c r="J854" s="50"/>
      <c r="K854" s="51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50"/>
      <c r="I855" s="50"/>
      <c r="J855" s="50"/>
      <c r="K855" s="51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50"/>
      <c r="I856" s="50"/>
      <c r="J856" s="50"/>
      <c r="K856" s="51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50"/>
      <c r="I857" s="50"/>
      <c r="J857" s="50"/>
      <c r="K857" s="51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50"/>
      <c r="I858" s="50"/>
      <c r="J858" s="50"/>
      <c r="K858" s="51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50"/>
      <c r="I859" s="50"/>
      <c r="J859" s="50"/>
      <c r="K859" s="51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50"/>
      <c r="I860" s="50"/>
      <c r="J860" s="50"/>
      <c r="K860" s="51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50"/>
      <c r="I861" s="50"/>
      <c r="J861" s="50"/>
      <c r="K861" s="51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50"/>
      <c r="I862" s="50"/>
      <c r="J862" s="50"/>
      <c r="K862" s="51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50"/>
      <c r="I863" s="50"/>
      <c r="J863" s="50"/>
      <c r="K863" s="51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50"/>
      <c r="I864" s="50"/>
      <c r="J864" s="50"/>
      <c r="K864" s="51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50"/>
      <c r="I865" s="50"/>
      <c r="J865" s="50"/>
      <c r="K865" s="51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50"/>
      <c r="I866" s="50"/>
      <c r="J866" s="50"/>
      <c r="K866" s="51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50"/>
      <c r="I867" s="50"/>
      <c r="J867" s="50"/>
      <c r="K867" s="51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50"/>
      <c r="I868" s="50"/>
      <c r="J868" s="50"/>
      <c r="K868" s="51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50"/>
      <c r="I869" s="50"/>
      <c r="J869" s="50"/>
      <c r="K869" s="51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50"/>
      <c r="I870" s="50"/>
      <c r="J870" s="50"/>
      <c r="K870" s="51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50"/>
      <c r="I871" s="50"/>
      <c r="J871" s="50"/>
      <c r="K871" s="51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50"/>
      <c r="I872" s="50"/>
      <c r="J872" s="50"/>
      <c r="K872" s="51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50"/>
      <c r="I873" s="50"/>
      <c r="J873" s="50"/>
      <c r="K873" s="51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50"/>
      <c r="I874" s="50"/>
      <c r="J874" s="50"/>
      <c r="K874" s="51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50"/>
      <c r="I875" s="50"/>
      <c r="J875" s="50"/>
      <c r="K875" s="51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50"/>
      <c r="I876" s="50"/>
      <c r="J876" s="50"/>
      <c r="K876" s="51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50"/>
      <c r="I877" s="50"/>
      <c r="J877" s="50"/>
      <c r="K877" s="51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50"/>
      <c r="I878" s="50"/>
      <c r="J878" s="50"/>
      <c r="K878" s="51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50"/>
      <c r="I879" s="50"/>
      <c r="J879" s="50"/>
      <c r="K879" s="51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50"/>
      <c r="I880" s="50"/>
      <c r="J880" s="50"/>
      <c r="K880" s="51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50"/>
      <c r="I881" s="50"/>
      <c r="J881" s="50"/>
      <c r="K881" s="51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50"/>
      <c r="I882" s="50"/>
      <c r="J882" s="50"/>
      <c r="K882" s="51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50"/>
      <c r="I883" s="50"/>
      <c r="J883" s="50"/>
      <c r="K883" s="51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50"/>
      <c r="I884" s="50"/>
      <c r="J884" s="50"/>
      <c r="K884" s="51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50"/>
      <c r="I885" s="50"/>
      <c r="J885" s="50"/>
      <c r="K885" s="51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50"/>
      <c r="I886" s="50"/>
      <c r="J886" s="50"/>
      <c r="K886" s="51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50"/>
      <c r="I887" s="50"/>
      <c r="J887" s="50"/>
      <c r="K887" s="51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50"/>
      <c r="I888" s="50"/>
      <c r="J888" s="50"/>
      <c r="K888" s="51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50"/>
      <c r="I889" s="50"/>
      <c r="J889" s="50"/>
      <c r="K889" s="51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50"/>
      <c r="I890" s="50"/>
      <c r="J890" s="50"/>
      <c r="K890" s="51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50"/>
      <c r="I891" s="50"/>
      <c r="J891" s="50"/>
      <c r="K891" s="51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50"/>
      <c r="I892" s="50"/>
      <c r="J892" s="50"/>
      <c r="K892" s="51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50"/>
      <c r="I893" s="50"/>
      <c r="J893" s="50"/>
      <c r="K893" s="51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50"/>
      <c r="I894" s="50"/>
      <c r="J894" s="50"/>
      <c r="K894" s="51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50"/>
      <c r="I895" s="50"/>
      <c r="J895" s="50"/>
      <c r="K895" s="51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50"/>
      <c r="I896" s="50"/>
      <c r="J896" s="50"/>
      <c r="K896" s="51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50"/>
      <c r="I897" s="50"/>
      <c r="J897" s="50"/>
      <c r="K897" s="51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50"/>
      <c r="I898" s="50"/>
      <c r="J898" s="50"/>
      <c r="K898" s="51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50"/>
      <c r="I899" s="50"/>
      <c r="J899" s="50"/>
      <c r="K899" s="51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50"/>
      <c r="I900" s="50"/>
      <c r="J900" s="50"/>
      <c r="K900" s="51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50"/>
      <c r="I901" s="50"/>
      <c r="J901" s="50"/>
      <c r="K901" s="51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50"/>
      <c r="I902" s="50"/>
      <c r="J902" s="50"/>
      <c r="K902" s="51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50"/>
      <c r="I903" s="50"/>
      <c r="J903" s="50"/>
      <c r="K903" s="51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50"/>
      <c r="I904" s="50"/>
      <c r="J904" s="50"/>
      <c r="K904" s="51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50"/>
      <c r="I905" s="50"/>
      <c r="J905" s="50"/>
      <c r="K905" s="51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50"/>
      <c r="I906" s="50"/>
      <c r="J906" s="50"/>
      <c r="K906" s="51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50"/>
      <c r="I907" s="50"/>
      <c r="J907" s="50"/>
      <c r="K907" s="51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50"/>
      <c r="I908" s="50"/>
      <c r="J908" s="50"/>
      <c r="K908" s="51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50"/>
      <c r="I909" s="50"/>
      <c r="J909" s="50"/>
      <c r="K909" s="51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50"/>
      <c r="I910" s="50"/>
      <c r="J910" s="50"/>
      <c r="K910" s="51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50"/>
      <c r="I911" s="50"/>
      <c r="J911" s="50"/>
      <c r="K911" s="51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50"/>
      <c r="I912" s="50"/>
      <c r="J912" s="50"/>
      <c r="K912" s="51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50"/>
      <c r="I913" s="50"/>
      <c r="J913" s="50"/>
      <c r="K913" s="51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50"/>
      <c r="I914" s="50"/>
      <c r="J914" s="50"/>
      <c r="K914" s="51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50"/>
      <c r="I915" s="50"/>
      <c r="J915" s="50"/>
      <c r="K915" s="51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50"/>
      <c r="I916" s="50"/>
      <c r="J916" s="50"/>
      <c r="K916" s="51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50"/>
      <c r="I917" s="50"/>
      <c r="J917" s="50"/>
      <c r="K917" s="51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50"/>
      <c r="I918" s="50"/>
      <c r="J918" s="50"/>
      <c r="K918" s="51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50"/>
      <c r="I919" s="50"/>
      <c r="J919" s="50"/>
      <c r="K919" s="51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50"/>
      <c r="I920" s="50"/>
      <c r="J920" s="50"/>
      <c r="K920" s="51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50"/>
      <c r="I921" s="50"/>
      <c r="J921" s="50"/>
      <c r="K921" s="51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50"/>
      <c r="I922" s="50"/>
      <c r="J922" s="50"/>
      <c r="K922" s="51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50"/>
      <c r="I923" s="50"/>
      <c r="J923" s="50"/>
      <c r="K923" s="51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50"/>
      <c r="I924" s="50"/>
      <c r="J924" s="50"/>
      <c r="K924" s="51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50"/>
      <c r="I925" s="50"/>
      <c r="J925" s="50"/>
      <c r="K925" s="51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50"/>
      <c r="I926" s="50"/>
      <c r="J926" s="50"/>
      <c r="K926" s="51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50"/>
      <c r="I927" s="50"/>
      <c r="J927" s="50"/>
      <c r="K927" s="51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50"/>
      <c r="I928" s="50"/>
      <c r="J928" s="50"/>
      <c r="K928" s="51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50"/>
      <c r="I929" s="50"/>
      <c r="J929" s="50"/>
      <c r="K929" s="51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50"/>
      <c r="I930" s="50"/>
      <c r="J930" s="50"/>
      <c r="K930" s="51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50"/>
      <c r="I931" s="50"/>
      <c r="J931" s="50"/>
      <c r="K931" s="51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50"/>
      <c r="I932" s="50"/>
      <c r="J932" s="50"/>
      <c r="K932" s="51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50"/>
      <c r="I933" s="50"/>
      <c r="J933" s="50"/>
      <c r="K933" s="51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50"/>
      <c r="I934" s="50"/>
      <c r="J934" s="50"/>
      <c r="K934" s="51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50"/>
      <c r="I935" s="50"/>
      <c r="J935" s="50"/>
      <c r="K935" s="51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50"/>
      <c r="I936" s="50"/>
      <c r="J936" s="50"/>
      <c r="K936" s="51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50"/>
      <c r="I937" s="50"/>
      <c r="J937" s="50"/>
      <c r="K937" s="51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50"/>
      <c r="I938" s="50"/>
      <c r="J938" s="50"/>
      <c r="K938" s="51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50"/>
      <c r="I939" s="50"/>
      <c r="J939" s="50"/>
      <c r="K939" s="51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50"/>
      <c r="I940" s="50"/>
      <c r="J940" s="50"/>
      <c r="K940" s="51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50"/>
      <c r="I941" s="50"/>
      <c r="J941" s="50"/>
      <c r="K941" s="51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50"/>
      <c r="I942" s="50"/>
      <c r="J942" s="50"/>
      <c r="K942" s="51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50"/>
      <c r="I943" s="50"/>
      <c r="J943" s="50"/>
      <c r="K943" s="51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50"/>
      <c r="I944" s="50"/>
      <c r="J944" s="50"/>
      <c r="K944" s="51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50"/>
      <c r="I945" s="50"/>
      <c r="J945" s="50"/>
      <c r="K945" s="51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50"/>
      <c r="I946" s="50"/>
      <c r="J946" s="50"/>
      <c r="K946" s="51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50"/>
      <c r="I947" s="50"/>
      <c r="J947" s="50"/>
      <c r="K947" s="51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50"/>
      <c r="I948" s="50"/>
      <c r="J948" s="50"/>
      <c r="K948" s="51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50"/>
      <c r="I949" s="50"/>
      <c r="J949" s="50"/>
      <c r="K949" s="51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50"/>
      <c r="I950" s="50"/>
      <c r="J950" s="50"/>
      <c r="K950" s="51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50"/>
      <c r="I951" s="50"/>
      <c r="J951" s="50"/>
      <c r="K951" s="51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50"/>
      <c r="I952" s="50"/>
      <c r="J952" s="50"/>
      <c r="K952" s="51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50"/>
      <c r="I953" s="50"/>
      <c r="J953" s="50"/>
      <c r="K953" s="51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50"/>
      <c r="I954" s="50"/>
      <c r="J954" s="50"/>
      <c r="K954" s="51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50"/>
      <c r="I955" s="50"/>
      <c r="J955" s="50"/>
      <c r="K955" s="51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50"/>
      <c r="I956" s="50"/>
      <c r="J956" s="50"/>
      <c r="K956" s="51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50"/>
      <c r="I957" s="50"/>
      <c r="J957" s="50"/>
      <c r="K957" s="51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50"/>
      <c r="I958" s="50"/>
      <c r="J958" s="50"/>
      <c r="K958" s="51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50"/>
      <c r="I959" s="50"/>
      <c r="J959" s="50"/>
      <c r="K959" s="51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50"/>
      <c r="I960" s="50"/>
      <c r="J960" s="50"/>
      <c r="K960" s="51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50"/>
      <c r="I961" s="50"/>
      <c r="J961" s="50"/>
      <c r="K961" s="51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50"/>
      <c r="I962" s="50"/>
      <c r="J962" s="50"/>
      <c r="K962" s="51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50"/>
      <c r="I963" s="50"/>
      <c r="J963" s="50"/>
      <c r="K963" s="51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50"/>
      <c r="I964" s="50"/>
      <c r="J964" s="50"/>
      <c r="K964" s="51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50"/>
      <c r="I965" s="50"/>
      <c r="J965" s="50"/>
      <c r="K965" s="51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50"/>
      <c r="I966" s="50"/>
      <c r="J966" s="50"/>
      <c r="K966" s="51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50"/>
      <c r="I967" s="50"/>
      <c r="J967" s="50"/>
      <c r="K967" s="51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50"/>
      <c r="I968" s="50"/>
      <c r="J968" s="50"/>
      <c r="K968" s="51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50"/>
      <c r="I969" s="50"/>
      <c r="J969" s="50"/>
      <c r="K969" s="51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50"/>
      <c r="I970" s="50"/>
      <c r="J970" s="50"/>
      <c r="K970" s="51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50"/>
      <c r="I971" s="50"/>
      <c r="J971" s="50"/>
      <c r="K971" s="51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50"/>
      <c r="I972" s="50"/>
      <c r="J972" s="50"/>
      <c r="K972" s="51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50"/>
      <c r="I973" s="50"/>
      <c r="J973" s="50"/>
      <c r="K973" s="51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50"/>
      <c r="I974" s="50"/>
      <c r="J974" s="50"/>
      <c r="K974" s="51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50"/>
      <c r="I975" s="50"/>
      <c r="J975" s="50"/>
      <c r="K975" s="51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50"/>
      <c r="I976" s="50"/>
      <c r="J976" s="50"/>
      <c r="K976" s="51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50"/>
      <c r="I977" s="50"/>
      <c r="J977" s="50"/>
      <c r="K977" s="51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50"/>
      <c r="I978" s="50"/>
      <c r="J978" s="50"/>
      <c r="K978" s="51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50"/>
      <c r="I979" s="50"/>
      <c r="J979" s="50"/>
      <c r="K979" s="51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50"/>
      <c r="I980" s="50"/>
      <c r="J980" s="50"/>
      <c r="K980" s="51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50"/>
      <c r="I981" s="50"/>
      <c r="J981" s="50"/>
      <c r="K981" s="51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50"/>
      <c r="I982" s="50"/>
      <c r="J982" s="50"/>
      <c r="K982" s="51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50"/>
      <c r="I983" s="50"/>
      <c r="J983" s="50"/>
      <c r="K983" s="51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50"/>
      <c r="I984" s="50"/>
      <c r="J984" s="50"/>
      <c r="K984" s="51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50"/>
      <c r="I985" s="50"/>
      <c r="J985" s="50"/>
      <c r="K985" s="51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50"/>
      <c r="I986" s="50"/>
      <c r="J986" s="50"/>
      <c r="K986" s="51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50"/>
      <c r="I987" s="50"/>
      <c r="J987" s="50"/>
      <c r="K987" s="51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50"/>
      <c r="I988" s="50"/>
      <c r="J988" s="50"/>
      <c r="K988" s="51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50"/>
      <c r="I989" s="50"/>
      <c r="J989" s="50"/>
      <c r="K989" s="51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50"/>
      <c r="I990" s="50"/>
      <c r="J990" s="50"/>
      <c r="K990" s="51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50"/>
      <c r="I991" s="50"/>
      <c r="J991" s="50"/>
      <c r="K991" s="51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50"/>
      <c r="I992" s="50"/>
      <c r="J992" s="50"/>
      <c r="K992" s="51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50"/>
      <c r="I993" s="50"/>
      <c r="J993" s="50"/>
      <c r="K993" s="51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50"/>
      <c r="I994" s="50"/>
      <c r="J994" s="50"/>
      <c r="K994" s="51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50"/>
      <c r="I995" s="50"/>
      <c r="J995" s="50"/>
      <c r="K995" s="51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50"/>
      <c r="I996" s="50"/>
      <c r="J996" s="50"/>
      <c r="K996" s="51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50"/>
      <c r="I997" s="50"/>
      <c r="J997" s="50"/>
      <c r="K997" s="51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50"/>
      <c r="I998" s="50"/>
      <c r="J998" s="50"/>
      <c r="K998" s="51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50"/>
      <c r="I999" s="50"/>
      <c r="J999" s="50"/>
      <c r="K999" s="51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50"/>
      <c r="I1000" s="50"/>
      <c r="J1000" s="50"/>
      <c r="K1000" s="51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</row>
    <row r="1001" ht="15.75" customHeight="1">
      <c r="A1001" s="49"/>
      <c r="B1001" s="49"/>
      <c r="C1001" s="49"/>
      <c r="D1001" s="49"/>
      <c r="E1001" s="49"/>
      <c r="F1001" s="49"/>
      <c r="G1001" s="49"/>
      <c r="H1001" s="50"/>
      <c r="I1001" s="50"/>
      <c r="J1001" s="50"/>
      <c r="K1001" s="51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</row>
    <row r="1002" ht="15.75" customHeight="1">
      <c r="A1002" s="49"/>
      <c r="B1002" s="49"/>
      <c r="C1002" s="49"/>
      <c r="D1002" s="49"/>
      <c r="E1002" s="49"/>
      <c r="F1002" s="49"/>
      <c r="G1002" s="49"/>
      <c r="H1002" s="50"/>
      <c r="I1002" s="50"/>
      <c r="J1002" s="50"/>
      <c r="K1002" s="51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</row>
    <row r="1003" ht="15.75" customHeight="1">
      <c r="A1003" s="49"/>
      <c r="B1003" s="49"/>
      <c r="C1003" s="49"/>
      <c r="D1003" s="49"/>
      <c r="E1003" s="49"/>
      <c r="F1003" s="49"/>
      <c r="G1003" s="49"/>
      <c r="H1003" s="50"/>
      <c r="I1003" s="50"/>
      <c r="J1003" s="50"/>
      <c r="K1003" s="51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</row>
    <row r="1004" ht="15.75" customHeight="1">
      <c r="A1004" s="49"/>
      <c r="B1004" s="49"/>
      <c r="C1004" s="49"/>
      <c r="D1004" s="49"/>
      <c r="E1004" s="49"/>
      <c r="F1004" s="49"/>
      <c r="G1004" s="49"/>
      <c r="H1004" s="50"/>
      <c r="I1004" s="50"/>
      <c r="J1004" s="50"/>
      <c r="K1004" s="51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</row>
    <row r="1005" ht="15.75" customHeight="1">
      <c r="A1005" s="49"/>
      <c r="B1005" s="49"/>
      <c r="C1005" s="49"/>
      <c r="D1005" s="49"/>
      <c r="E1005" s="49"/>
      <c r="F1005" s="49"/>
      <c r="G1005" s="49"/>
      <c r="H1005" s="50"/>
      <c r="I1005" s="50"/>
      <c r="J1005" s="50"/>
      <c r="K1005" s="51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</row>
    <row r="1006" ht="15.75" customHeight="1">
      <c r="A1006" s="49"/>
      <c r="B1006" s="49"/>
      <c r="C1006" s="49"/>
      <c r="D1006" s="49"/>
      <c r="E1006" s="49"/>
      <c r="F1006" s="49"/>
      <c r="G1006" s="49"/>
      <c r="H1006" s="50"/>
      <c r="I1006" s="50"/>
      <c r="J1006" s="50"/>
      <c r="K1006" s="51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</row>
    <row r="1007" ht="15.75" customHeight="1">
      <c r="A1007" s="49"/>
      <c r="B1007" s="49"/>
      <c r="C1007" s="49"/>
      <c r="D1007" s="49"/>
      <c r="E1007" s="49"/>
      <c r="F1007" s="49"/>
      <c r="G1007" s="49"/>
      <c r="H1007" s="50"/>
      <c r="I1007" s="50"/>
      <c r="J1007" s="50"/>
      <c r="K1007" s="51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</row>
    <row r="1008" ht="15.75" customHeight="1">
      <c r="A1008" s="49"/>
      <c r="B1008" s="49"/>
      <c r="C1008" s="49"/>
      <c r="D1008" s="49"/>
      <c r="E1008" s="49"/>
      <c r="F1008" s="49"/>
      <c r="G1008" s="49"/>
      <c r="H1008" s="50"/>
      <c r="I1008" s="50"/>
      <c r="J1008" s="50"/>
      <c r="K1008" s="51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</row>
    <row r="1009" ht="15.75" customHeight="1">
      <c r="A1009" s="49"/>
      <c r="B1009" s="49"/>
      <c r="C1009" s="49"/>
      <c r="D1009" s="49"/>
      <c r="E1009" s="49"/>
      <c r="F1009" s="49"/>
      <c r="G1009" s="49"/>
      <c r="H1009" s="50"/>
      <c r="I1009" s="50"/>
      <c r="J1009" s="50"/>
      <c r="K1009" s="51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</row>
    <row r="1010" ht="15.75" customHeight="1">
      <c r="A1010" s="49"/>
      <c r="B1010" s="49"/>
      <c r="C1010" s="49"/>
      <c r="D1010" s="49"/>
      <c r="E1010" s="49"/>
      <c r="F1010" s="49"/>
      <c r="G1010" s="49"/>
      <c r="H1010" s="50"/>
      <c r="I1010" s="50"/>
      <c r="J1010" s="50"/>
      <c r="K1010" s="51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</row>
    <row r="1011" ht="15.75" customHeight="1">
      <c r="A1011" s="49"/>
      <c r="B1011" s="49"/>
      <c r="C1011" s="49"/>
      <c r="D1011" s="49"/>
      <c r="E1011" s="49"/>
      <c r="F1011" s="49"/>
      <c r="G1011" s="49"/>
      <c r="H1011" s="50"/>
      <c r="I1011" s="50"/>
      <c r="J1011" s="50"/>
      <c r="K1011" s="51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</row>
    <row r="1012" ht="15.75" customHeight="1">
      <c r="A1012" s="49"/>
      <c r="B1012" s="49"/>
      <c r="C1012" s="49"/>
      <c r="D1012" s="49"/>
      <c r="E1012" s="49"/>
      <c r="F1012" s="49"/>
      <c r="G1012" s="49"/>
      <c r="H1012" s="50"/>
      <c r="I1012" s="50"/>
      <c r="J1012" s="50"/>
      <c r="K1012" s="51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</row>
    <row r="1013" ht="15.75" customHeight="1">
      <c r="A1013" s="49"/>
      <c r="B1013" s="49"/>
      <c r="C1013" s="49"/>
      <c r="D1013" s="49"/>
      <c r="E1013" s="49"/>
      <c r="F1013" s="49"/>
      <c r="G1013" s="49"/>
      <c r="H1013" s="50"/>
      <c r="I1013" s="50"/>
      <c r="J1013" s="50"/>
      <c r="K1013" s="51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</row>
    <row r="1014" ht="15.75" customHeight="1">
      <c r="A1014" s="49"/>
      <c r="B1014" s="49"/>
      <c r="C1014" s="49"/>
      <c r="D1014" s="49"/>
      <c r="E1014" s="49"/>
      <c r="F1014" s="49"/>
      <c r="G1014" s="49"/>
      <c r="H1014" s="50"/>
      <c r="I1014" s="50"/>
      <c r="J1014" s="50"/>
      <c r="K1014" s="51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</row>
    <row r="1015" ht="15.75" customHeight="1">
      <c r="A1015" s="49"/>
      <c r="B1015" s="49"/>
      <c r="C1015" s="49"/>
      <c r="D1015" s="49"/>
      <c r="E1015" s="49"/>
      <c r="F1015" s="49"/>
      <c r="G1015" s="49"/>
      <c r="H1015" s="50"/>
      <c r="I1015" s="50"/>
      <c r="J1015" s="50"/>
      <c r="K1015" s="51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</row>
    <row r="1016" ht="15.75" customHeight="1">
      <c r="A1016" s="49"/>
      <c r="B1016" s="49"/>
      <c r="C1016" s="49"/>
      <c r="D1016" s="49"/>
      <c r="E1016" s="49"/>
      <c r="F1016" s="49"/>
      <c r="G1016" s="49"/>
      <c r="H1016" s="50"/>
      <c r="I1016" s="50"/>
      <c r="J1016" s="50"/>
      <c r="K1016" s="51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</row>
    <row r="1017" ht="15.75" customHeight="1">
      <c r="A1017" s="49"/>
      <c r="B1017" s="49"/>
      <c r="C1017" s="49"/>
      <c r="D1017" s="49"/>
      <c r="E1017" s="49"/>
      <c r="F1017" s="49"/>
      <c r="G1017" s="49"/>
      <c r="H1017" s="50"/>
      <c r="I1017" s="50"/>
      <c r="J1017" s="50"/>
      <c r="K1017" s="51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</row>
    <row r="1018" ht="15.75" customHeight="1">
      <c r="A1018" s="49"/>
      <c r="B1018" s="49"/>
      <c r="C1018" s="49"/>
      <c r="D1018" s="49"/>
      <c r="E1018" s="49"/>
      <c r="F1018" s="49"/>
      <c r="G1018" s="49"/>
      <c r="H1018" s="50"/>
      <c r="I1018" s="50"/>
      <c r="J1018" s="50"/>
      <c r="K1018" s="51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</row>
    <row r="1019" ht="15.75" customHeight="1">
      <c r="A1019" s="49"/>
      <c r="F1019" s="160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</row>
    <row r="1020" ht="15.75" customHeight="1">
      <c r="A1020" s="49"/>
      <c r="F1020" s="160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</row>
  </sheetData>
  <mergeCells count="58">
    <mergeCell ref="B34:B35"/>
    <mergeCell ref="B39:B40"/>
    <mergeCell ref="A28:A29"/>
    <mergeCell ref="B28:B29"/>
    <mergeCell ref="A30:A33"/>
    <mergeCell ref="B31:B32"/>
    <mergeCell ref="C31:C32"/>
    <mergeCell ref="A34:A38"/>
    <mergeCell ref="B41:B46"/>
    <mergeCell ref="C81:E81"/>
    <mergeCell ref="C89:E89"/>
    <mergeCell ref="A60:A62"/>
    <mergeCell ref="A63:A65"/>
    <mergeCell ref="A66:A77"/>
    <mergeCell ref="B66:B67"/>
    <mergeCell ref="B68:B69"/>
    <mergeCell ref="B70:B74"/>
    <mergeCell ref="B75:B77"/>
    <mergeCell ref="P65:Q65"/>
    <mergeCell ref="P62:P64"/>
    <mergeCell ref="M17:N17"/>
    <mergeCell ref="A26:K26"/>
    <mergeCell ref="A6:K6"/>
    <mergeCell ref="M6:N6"/>
    <mergeCell ref="M7:N7"/>
    <mergeCell ref="A8:A9"/>
    <mergeCell ref="B8:B9"/>
    <mergeCell ref="A10:A11"/>
    <mergeCell ref="A12:A16"/>
    <mergeCell ref="B10:B11"/>
    <mergeCell ref="B12:B13"/>
    <mergeCell ref="A17:A20"/>
    <mergeCell ref="B17:B18"/>
    <mergeCell ref="B19:B20"/>
    <mergeCell ref="A21:A22"/>
    <mergeCell ref="B21:B22"/>
    <mergeCell ref="P6:R6"/>
    <mergeCell ref="P10:P12"/>
    <mergeCell ref="P13:P14"/>
    <mergeCell ref="P16:Q16"/>
    <mergeCell ref="P26:R26"/>
    <mergeCell ref="P29:P30"/>
    <mergeCell ref="P31:P33"/>
    <mergeCell ref="A39:A46"/>
    <mergeCell ref="A47:A49"/>
    <mergeCell ref="A53:K53"/>
    <mergeCell ref="B47:B48"/>
    <mergeCell ref="A55:A56"/>
    <mergeCell ref="B55:B56"/>
    <mergeCell ref="A57:A59"/>
    <mergeCell ref="B57:B58"/>
    <mergeCell ref="P34:P35"/>
    <mergeCell ref="P36:P37"/>
    <mergeCell ref="P38:Q38"/>
    <mergeCell ref="P53:R53"/>
    <mergeCell ref="P60:P61"/>
    <mergeCell ref="P58:P59"/>
    <mergeCell ref="P56:P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17.57"/>
    <col customWidth="1" min="4" max="4" width="22.86"/>
    <col customWidth="1" min="5" max="5" width="15.86"/>
    <col customWidth="1" min="6" max="6" width="15.57"/>
    <col customWidth="1" min="18" max="18" width="19.86"/>
    <col customWidth="1" min="19" max="19" width="17.43"/>
  </cols>
  <sheetData>
    <row r="2">
      <c r="D2" s="160" t="s">
        <v>70</v>
      </c>
      <c r="E2" s="185">
        <f>L17+L32+L49</f>
        <v>1416.408284</v>
      </c>
      <c r="G2" s="160"/>
      <c r="H2" s="160">
        <f>(E2/'Costeo General'!I2)*100</f>
        <v>31.82219104</v>
      </c>
      <c r="I2" s="160" t="s">
        <v>163</v>
      </c>
    </row>
    <row r="3">
      <c r="L3" s="186"/>
      <c r="N3" s="160"/>
      <c r="O3" s="160"/>
      <c r="R3" s="187" t="s">
        <v>139</v>
      </c>
      <c r="S3" s="187" t="s">
        <v>164</v>
      </c>
      <c r="T3" s="187" t="s">
        <v>165</v>
      </c>
    </row>
    <row r="4">
      <c r="N4" s="188" t="s">
        <v>166</v>
      </c>
      <c r="O4" s="188" t="s">
        <v>48</v>
      </c>
      <c r="R4" s="189">
        <v>1.0</v>
      </c>
      <c r="S4" s="190">
        <f t="shared" ref="S4:T4" si="1">SUM(K7:K8)</f>
        <v>55.66863905</v>
      </c>
      <c r="T4" s="190">
        <f t="shared" si="1"/>
        <v>111.3372781</v>
      </c>
    </row>
    <row r="5">
      <c r="C5" s="61" t="s">
        <v>73</v>
      </c>
      <c r="D5" s="27"/>
      <c r="E5" s="27"/>
      <c r="F5" s="27"/>
      <c r="G5" s="27"/>
      <c r="H5" s="27"/>
      <c r="I5" s="27"/>
      <c r="J5" s="27"/>
      <c r="K5" s="27"/>
      <c r="L5" s="28"/>
      <c r="N5" s="191">
        <v>88.0</v>
      </c>
      <c r="O5" s="191">
        <v>10000.0</v>
      </c>
      <c r="R5" s="189">
        <v>2.0</v>
      </c>
      <c r="S5" s="190">
        <f t="shared" ref="S5:T5" si="2">K9+K10</f>
        <v>55.66863905</v>
      </c>
      <c r="T5" s="190">
        <f t="shared" si="2"/>
        <v>111.3372781</v>
      </c>
    </row>
    <row r="6" ht="34.5" customHeight="1">
      <c r="C6" s="64" t="s">
        <v>76</v>
      </c>
      <c r="D6" s="64" t="s">
        <v>78</v>
      </c>
      <c r="E6" s="64" t="s">
        <v>29</v>
      </c>
      <c r="F6" s="65" t="s">
        <v>167</v>
      </c>
      <c r="G6" s="65" t="s">
        <v>80</v>
      </c>
      <c r="H6" s="64" t="s">
        <v>81</v>
      </c>
      <c r="I6" s="67" t="s">
        <v>82</v>
      </c>
      <c r="J6" s="67" t="s">
        <v>83</v>
      </c>
      <c r="K6" s="67" t="s">
        <v>84</v>
      </c>
      <c r="L6" s="67" t="s">
        <v>85</v>
      </c>
      <c r="R6" s="189">
        <v>3.0</v>
      </c>
      <c r="S6" s="190">
        <f t="shared" ref="S6:T6" si="3">K11+K12</f>
        <v>12.52662722</v>
      </c>
      <c r="T6" s="190">
        <f t="shared" si="3"/>
        <v>61.96449704</v>
      </c>
    </row>
    <row r="7">
      <c r="C7" s="72">
        <v>1.0</v>
      </c>
      <c r="D7" s="74" t="s">
        <v>140</v>
      </c>
      <c r="E7" s="74" t="s">
        <v>91</v>
      </c>
      <c r="F7" s="74">
        <v>2.0</v>
      </c>
      <c r="G7" s="75">
        <v>4.0</v>
      </c>
      <c r="H7" s="74">
        <v>6.0</v>
      </c>
      <c r="I7" s="76">
        <v>3.0</v>
      </c>
      <c r="J7" s="76">
        <f t="shared" ref="J7:J16" si="5">I7/$N$9</f>
        <v>0.8875739645</v>
      </c>
      <c r="K7" s="76">
        <f t="shared" ref="K7:K16" si="6">J7*F7*H7</f>
        <v>10.65088757</v>
      </c>
      <c r="L7" s="77">
        <f t="shared" ref="L7:L16" si="7">G7*H7*J7</f>
        <v>21.30177515</v>
      </c>
      <c r="R7" s="189">
        <v>4.0</v>
      </c>
      <c r="S7" s="190">
        <f t="shared" ref="S7:T7" si="4">K13+K14</f>
        <v>55.66863905</v>
      </c>
      <c r="T7" s="190">
        <f t="shared" si="4"/>
        <v>111.3372781</v>
      </c>
    </row>
    <row r="8">
      <c r="C8" s="81"/>
      <c r="D8" s="74" t="s">
        <v>93</v>
      </c>
      <c r="E8" s="74" t="s">
        <v>94</v>
      </c>
      <c r="F8" s="74">
        <v>2.0</v>
      </c>
      <c r="G8" s="75">
        <v>4.0</v>
      </c>
      <c r="H8" s="74">
        <v>6.0</v>
      </c>
      <c r="I8" s="82">
        <v>12.68</v>
      </c>
      <c r="J8" s="76">
        <f t="shared" si="5"/>
        <v>3.75147929</v>
      </c>
      <c r="K8" s="76">
        <f t="shared" si="6"/>
        <v>45.01775148</v>
      </c>
      <c r="L8" s="77">
        <f t="shared" si="7"/>
        <v>90.03550296</v>
      </c>
      <c r="N8" s="83">
        <v>1.0</v>
      </c>
      <c r="O8" s="84" t="s">
        <v>95</v>
      </c>
      <c r="R8" s="189">
        <v>5.0</v>
      </c>
      <c r="S8" s="190">
        <f t="shared" ref="S8:T8" si="8">K15+K16</f>
        <v>18.55621302</v>
      </c>
      <c r="T8" s="190">
        <f t="shared" si="8"/>
        <v>37.11242604</v>
      </c>
    </row>
    <row r="9">
      <c r="C9" s="85">
        <v>2.0</v>
      </c>
      <c r="D9" s="87" t="s">
        <v>140</v>
      </c>
      <c r="E9" s="87" t="s">
        <v>91</v>
      </c>
      <c r="F9" s="87">
        <v>2.0</v>
      </c>
      <c r="G9" s="88">
        <v>4.0</v>
      </c>
      <c r="H9" s="87">
        <v>6.0</v>
      </c>
      <c r="I9" s="89">
        <v>3.0</v>
      </c>
      <c r="J9" s="89">
        <f t="shared" si="5"/>
        <v>0.8875739645</v>
      </c>
      <c r="K9" s="89">
        <f t="shared" si="6"/>
        <v>10.65088757</v>
      </c>
      <c r="L9" s="77">
        <f t="shared" si="7"/>
        <v>21.30177515</v>
      </c>
      <c r="N9" s="83">
        <v>3.38</v>
      </c>
      <c r="O9" s="84" t="s">
        <v>97</v>
      </c>
      <c r="R9" s="192" t="s">
        <v>70</v>
      </c>
      <c r="S9" s="193">
        <f t="shared" ref="S9:T9" si="9">SUM(S4:S8)</f>
        <v>198.0887574</v>
      </c>
      <c r="T9" s="193">
        <f t="shared" si="9"/>
        <v>433.0887574</v>
      </c>
    </row>
    <row r="10">
      <c r="C10" s="81"/>
      <c r="D10" s="87" t="s">
        <v>93</v>
      </c>
      <c r="E10" s="87" t="s">
        <v>94</v>
      </c>
      <c r="F10" s="87">
        <v>2.0</v>
      </c>
      <c r="G10" s="88">
        <v>4.0</v>
      </c>
      <c r="H10" s="87">
        <v>6.0</v>
      </c>
      <c r="I10" s="91">
        <v>12.68</v>
      </c>
      <c r="J10" s="89">
        <f t="shared" si="5"/>
        <v>3.75147929</v>
      </c>
      <c r="K10" s="89">
        <f t="shared" si="6"/>
        <v>45.01775148</v>
      </c>
      <c r="L10" s="77">
        <f t="shared" si="7"/>
        <v>90.03550296</v>
      </c>
    </row>
    <row r="11">
      <c r="C11" s="94">
        <v>3.0</v>
      </c>
      <c r="D11" s="96" t="s">
        <v>140</v>
      </c>
      <c r="E11" s="96" t="s">
        <v>91</v>
      </c>
      <c r="F11" s="96">
        <v>2.0</v>
      </c>
      <c r="G11" s="97">
        <v>6.0</v>
      </c>
      <c r="H11" s="96">
        <v>6.0</v>
      </c>
      <c r="I11" s="99">
        <v>3.0</v>
      </c>
      <c r="J11" s="99">
        <f t="shared" si="5"/>
        <v>0.8875739645</v>
      </c>
      <c r="K11" s="99">
        <f t="shared" si="6"/>
        <v>10.65088757</v>
      </c>
      <c r="L11" s="77">
        <f t="shared" si="7"/>
        <v>31.95266272</v>
      </c>
      <c r="N11" s="188" t="s">
        <v>94</v>
      </c>
      <c r="O11" s="188" t="s">
        <v>168</v>
      </c>
    </row>
    <row r="12">
      <c r="C12" s="145"/>
      <c r="D12" s="101" t="s">
        <v>103</v>
      </c>
      <c r="E12" s="96" t="s">
        <v>94</v>
      </c>
      <c r="F12" s="97">
        <v>0.5</v>
      </c>
      <c r="G12" s="97">
        <v>8.0</v>
      </c>
      <c r="H12" s="96">
        <v>1.0</v>
      </c>
      <c r="I12" s="102">
        <v>12.68</v>
      </c>
      <c r="J12" s="99">
        <f t="shared" si="5"/>
        <v>3.75147929</v>
      </c>
      <c r="K12" s="99">
        <f t="shared" si="6"/>
        <v>1.875739645</v>
      </c>
      <c r="L12" s="77">
        <f t="shared" si="7"/>
        <v>30.01183432</v>
      </c>
      <c r="N12" s="191">
        <v>1.0</v>
      </c>
      <c r="O12" s="191">
        <v>25.35</v>
      </c>
    </row>
    <row r="13">
      <c r="C13" s="105">
        <v>4.0</v>
      </c>
      <c r="D13" s="107" t="s">
        <v>140</v>
      </c>
      <c r="E13" s="107" t="s">
        <v>91</v>
      </c>
      <c r="F13" s="107">
        <v>2.0</v>
      </c>
      <c r="G13" s="108">
        <v>4.0</v>
      </c>
      <c r="H13" s="107">
        <v>6.0</v>
      </c>
      <c r="I13" s="109">
        <v>3.0</v>
      </c>
      <c r="J13" s="109">
        <f t="shared" si="5"/>
        <v>0.8875739645</v>
      </c>
      <c r="K13" s="109">
        <f t="shared" si="6"/>
        <v>10.65088757</v>
      </c>
      <c r="L13" s="77">
        <f t="shared" si="7"/>
        <v>21.30177515</v>
      </c>
    </row>
    <row r="14">
      <c r="C14" s="145"/>
      <c r="D14" s="107" t="s">
        <v>93</v>
      </c>
      <c r="E14" s="107" t="s">
        <v>94</v>
      </c>
      <c r="F14" s="107">
        <v>2.0</v>
      </c>
      <c r="G14" s="108">
        <v>4.0</v>
      </c>
      <c r="H14" s="107">
        <v>6.0</v>
      </c>
      <c r="I14" s="111">
        <v>12.68</v>
      </c>
      <c r="J14" s="109">
        <f t="shared" si="5"/>
        <v>3.75147929</v>
      </c>
      <c r="K14" s="109">
        <f t="shared" si="6"/>
        <v>45.01775148</v>
      </c>
      <c r="L14" s="77">
        <f t="shared" si="7"/>
        <v>90.03550296</v>
      </c>
    </row>
    <row r="15">
      <c r="C15" s="113">
        <v>5.0</v>
      </c>
      <c r="D15" s="115" t="s">
        <v>140</v>
      </c>
      <c r="E15" s="115" t="s">
        <v>91</v>
      </c>
      <c r="F15" s="115">
        <v>2.0</v>
      </c>
      <c r="G15" s="116">
        <v>4.0</v>
      </c>
      <c r="H15" s="115">
        <v>2.0</v>
      </c>
      <c r="I15" s="117">
        <v>3.0</v>
      </c>
      <c r="J15" s="117">
        <f t="shared" si="5"/>
        <v>0.8875739645</v>
      </c>
      <c r="K15" s="117">
        <f t="shared" si="6"/>
        <v>3.550295858</v>
      </c>
      <c r="L15" s="77">
        <f t="shared" si="7"/>
        <v>7.100591716</v>
      </c>
    </row>
    <row r="16">
      <c r="C16" s="81"/>
      <c r="D16" s="115" t="s">
        <v>93</v>
      </c>
      <c r="E16" s="115" t="s">
        <v>94</v>
      </c>
      <c r="F16" s="115">
        <v>2.0</v>
      </c>
      <c r="G16" s="116">
        <v>4.0</v>
      </c>
      <c r="H16" s="115">
        <v>2.0</v>
      </c>
      <c r="I16" s="118">
        <v>12.68</v>
      </c>
      <c r="J16" s="117">
        <f t="shared" si="5"/>
        <v>3.75147929</v>
      </c>
      <c r="K16" s="117">
        <f t="shared" si="6"/>
        <v>15.00591716</v>
      </c>
      <c r="L16" s="77">
        <f t="shared" si="7"/>
        <v>30.01183432</v>
      </c>
    </row>
    <row r="17">
      <c r="C17" s="119" t="s">
        <v>70</v>
      </c>
      <c r="D17" s="53" t="s">
        <v>115</v>
      </c>
      <c r="E17" s="53" t="s">
        <v>115</v>
      </c>
      <c r="F17" s="53" t="s">
        <v>115</v>
      </c>
      <c r="G17" s="53"/>
      <c r="H17" s="53" t="s">
        <v>115</v>
      </c>
      <c r="I17" s="80">
        <f t="shared" ref="I17:L17" si="10">SUM(I7:I16)</f>
        <v>78.4</v>
      </c>
      <c r="J17" s="80">
        <f t="shared" si="10"/>
        <v>23.19526627</v>
      </c>
      <c r="K17" s="80">
        <f t="shared" si="10"/>
        <v>198.0887574</v>
      </c>
      <c r="L17" s="80">
        <f t="shared" si="10"/>
        <v>433.0887574</v>
      </c>
      <c r="M17" s="185"/>
    </row>
    <row r="18">
      <c r="C18" s="194"/>
      <c r="D18" s="194"/>
      <c r="E18" s="194"/>
      <c r="F18" s="194"/>
      <c r="G18" s="194"/>
      <c r="H18" s="194"/>
      <c r="I18" s="194"/>
      <c r="J18" s="194"/>
      <c r="K18" s="194"/>
      <c r="L18" s="194"/>
    </row>
    <row r="19"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O19" s="191" t="s">
        <v>169</v>
      </c>
      <c r="P19" s="191" t="s">
        <v>170</v>
      </c>
    </row>
    <row r="20">
      <c r="C20" s="61" t="s">
        <v>116</v>
      </c>
      <c r="D20" s="27"/>
      <c r="E20" s="27"/>
      <c r="F20" s="27"/>
      <c r="G20" s="27"/>
      <c r="H20" s="27"/>
      <c r="I20" s="27"/>
      <c r="J20" s="27"/>
      <c r="K20" s="27"/>
      <c r="L20" s="28"/>
      <c r="O20" s="191" t="s">
        <v>171</v>
      </c>
      <c r="P20" s="195">
        <f>L17</f>
        <v>433.0887574</v>
      </c>
    </row>
    <row r="21">
      <c r="C21" s="64" t="s">
        <v>76</v>
      </c>
      <c r="D21" s="64" t="s">
        <v>78</v>
      </c>
      <c r="E21" s="64" t="s">
        <v>29</v>
      </c>
      <c r="F21" s="65" t="s">
        <v>167</v>
      </c>
      <c r="G21" s="65" t="s">
        <v>80</v>
      </c>
      <c r="H21" s="64" t="s">
        <v>81</v>
      </c>
      <c r="I21" s="67" t="s">
        <v>82</v>
      </c>
      <c r="J21" s="67" t="s">
        <v>83</v>
      </c>
      <c r="K21" s="67" t="s">
        <v>84</v>
      </c>
      <c r="L21" s="67" t="s">
        <v>85</v>
      </c>
      <c r="O21" s="191" t="s">
        <v>172</v>
      </c>
      <c r="P21" s="195">
        <f>L32</f>
        <v>500.8579882</v>
      </c>
      <c r="R21" s="187" t="s">
        <v>139</v>
      </c>
      <c r="S21" s="187" t="s">
        <v>164</v>
      </c>
      <c r="T21" s="187" t="s">
        <v>165</v>
      </c>
    </row>
    <row r="22">
      <c r="C22" s="120">
        <v>1.0</v>
      </c>
      <c r="D22" s="83" t="s">
        <v>140</v>
      </c>
      <c r="E22" s="83" t="s">
        <v>91</v>
      </c>
      <c r="F22" s="83">
        <v>2.0</v>
      </c>
      <c r="G22" s="122">
        <v>4.0</v>
      </c>
      <c r="H22" s="83">
        <v>4.0</v>
      </c>
      <c r="I22" s="98">
        <v>3.0</v>
      </c>
      <c r="J22" s="98">
        <f>I22/$N$9</f>
        <v>0.8875739645</v>
      </c>
      <c r="K22" s="98">
        <f t="shared" ref="K22:K31" si="12">J22*F22*H22</f>
        <v>7.100591716</v>
      </c>
      <c r="L22" s="77">
        <f t="shared" ref="L22:L31" si="13">J22*H22*G22</f>
        <v>14.20118343</v>
      </c>
      <c r="O22" s="191" t="s">
        <v>173</v>
      </c>
      <c r="P22" s="195">
        <f>L49</f>
        <v>482.4615385</v>
      </c>
      <c r="R22" s="189">
        <v>1.0</v>
      </c>
      <c r="S22" s="190">
        <f t="shared" ref="S22:T22" si="11">K22+K23</f>
        <v>37.10059172</v>
      </c>
      <c r="T22" s="190">
        <f t="shared" si="11"/>
        <v>74.20118343</v>
      </c>
    </row>
    <row r="23">
      <c r="C23" s="81"/>
      <c r="D23" s="83" t="s">
        <v>93</v>
      </c>
      <c r="E23" s="83" t="s">
        <v>94</v>
      </c>
      <c r="F23" s="83">
        <v>2.0</v>
      </c>
      <c r="G23" s="122">
        <v>4.0</v>
      </c>
      <c r="H23" s="83">
        <v>4.0</v>
      </c>
      <c r="I23" s="98">
        <f>O12</f>
        <v>25.35</v>
      </c>
      <c r="J23" s="123">
        <v>3.75</v>
      </c>
      <c r="K23" s="98">
        <f t="shared" si="12"/>
        <v>30</v>
      </c>
      <c r="L23" s="77">
        <f t="shared" si="13"/>
        <v>60</v>
      </c>
      <c r="O23" s="191" t="s">
        <v>174</v>
      </c>
      <c r="P23" s="191"/>
      <c r="R23" s="189">
        <v>2.0</v>
      </c>
      <c r="S23" s="190">
        <f t="shared" ref="S23:T23" si="14">K24+K25</f>
        <v>55.65088757</v>
      </c>
      <c r="T23" s="190">
        <f t="shared" si="14"/>
        <v>111.3017751</v>
      </c>
    </row>
    <row r="24">
      <c r="C24" s="196">
        <v>2.0</v>
      </c>
      <c r="D24" s="125" t="s">
        <v>140</v>
      </c>
      <c r="E24" s="125" t="s">
        <v>91</v>
      </c>
      <c r="F24" s="125">
        <v>2.0</v>
      </c>
      <c r="G24" s="126">
        <v>4.0</v>
      </c>
      <c r="H24" s="125">
        <v>6.0</v>
      </c>
      <c r="I24" s="127">
        <v>3.0</v>
      </c>
      <c r="J24" s="127">
        <f>I24/$N$9</f>
        <v>0.8875739645</v>
      </c>
      <c r="K24" s="127">
        <f t="shared" si="12"/>
        <v>10.65088757</v>
      </c>
      <c r="L24" s="77">
        <f t="shared" si="13"/>
        <v>21.30177515</v>
      </c>
      <c r="O24" s="191" t="s">
        <v>157</v>
      </c>
      <c r="P24" s="195">
        <f>SUM(P20:P23)</f>
        <v>1416.408284</v>
      </c>
      <c r="R24" s="189">
        <v>3.0</v>
      </c>
      <c r="S24" s="190">
        <f t="shared" ref="S24:T24" si="15">K26+K27</f>
        <v>78.15088757</v>
      </c>
      <c r="T24" s="190">
        <f t="shared" si="15"/>
        <v>111.3017751</v>
      </c>
    </row>
    <row r="25">
      <c r="C25" s="197"/>
      <c r="D25" s="125" t="s">
        <v>93</v>
      </c>
      <c r="E25" s="125" t="s">
        <v>94</v>
      </c>
      <c r="F25" s="125">
        <v>2.0</v>
      </c>
      <c r="G25" s="126">
        <v>4.0</v>
      </c>
      <c r="H25" s="125">
        <v>6.0</v>
      </c>
      <c r="I25" s="127">
        <f>O12</f>
        <v>25.35</v>
      </c>
      <c r="J25" s="127">
        <v>3.75</v>
      </c>
      <c r="K25" s="127">
        <f t="shared" si="12"/>
        <v>45</v>
      </c>
      <c r="L25" s="77">
        <f t="shared" si="13"/>
        <v>90</v>
      </c>
      <c r="R25" s="189">
        <v>4.0</v>
      </c>
      <c r="S25" s="190">
        <f t="shared" ref="S25:T25" si="16">K28+K29</f>
        <v>55.65088757</v>
      </c>
      <c r="T25" s="190">
        <f t="shared" si="16"/>
        <v>111.3017751</v>
      </c>
    </row>
    <row r="26">
      <c r="C26" s="198">
        <v>3.0</v>
      </c>
      <c r="D26" s="87" t="s">
        <v>140</v>
      </c>
      <c r="E26" s="87" t="s">
        <v>91</v>
      </c>
      <c r="F26" s="87">
        <v>2.0</v>
      </c>
      <c r="G26" s="88">
        <v>4.0</v>
      </c>
      <c r="H26" s="87">
        <v>6.0</v>
      </c>
      <c r="I26" s="89">
        <v>3.0</v>
      </c>
      <c r="J26" s="89">
        <f>I26/$N$9</f>
        <v>0.8875739645</v>
      </c>
      <c r="K26" s="89">
        <f t="shared" si="12"/>
        <v>10.65088757</v>
      </c>
      <c r="L26" s="77">
        <f t="shared" si="13"/>
        <v>21.30177515</v>
      </c>
      <c r="R26" s="189">
        <v>5.0</v>
      </c>
      <c r="S26" s="190">
        <f t="shared" ref="S26:T26" si="17">K30+K31</f>
        <v>46.37573964</v>
      </c>
      <c r="T26" s="190">
        <f t="shared" si="17"/>
        <v>92.75147929</v>
      </c>
    </row>
    <row r="27">
      <c r="C27" s="199"/>
      <c r="D27" s="131" t="s">
        <v>93</v>
      </c>
      <c r="E27" s="87" t="s">
        <v>94</v>
      </c>
      <c r="F27" s="87">
        <v>3.0</v>
      </c>
      <c r="G27" s="88">
        <v>4.0</v>
      </c>
      <c r="H27" s="87">
        <v>6.0</v>
      </c>
      <c r="I27" s="89">
        <f>O12</f>
        <v>25.35</v>
      </c>
      <c r="J27" s="89">
        <v>3.75</v>
      </c>
      <c r="K27" s="89">
        <f t="shared" si="12"/>
        <v>67.5</v>
      </c>
      <c r="L27" s="77">
        <f t="shared" si="13"/>
        <v>90</v>
      </c>
      <c r="R27" s="192" t="s">
        <v>70</v>
      </c>
      <c r="S27" s="193">
        <f t="shared" ref="S27:T27" si="18">SUM(S22:S26)</f>
        <v>272.9289941</v>
      </c>
      <c r="T27" s="193">
        <f t="shared" si="18"/>
        <v>500.8579882</v>
      </c>
    </row>
    <row r="28">
      <c r="C28" s="200">
        <v>4.0</v>
      </c>
      <c r="D28" s="135" t="s">
        <v>140</v>
      </c>
      <c r="E28" s="135" t="s">
        <v>91</v>
      </c>
      <c r="F28" s="135">
        <v>2.0</v>
      </c>
      <c r="G28" s="136">
        <v>4.0</v>
      </c>
      <c r="H28" s="135">
        <v>6.0</v>
      </c>
      <c r="I28" s="137">
        <v>3.0</v>
      </c>
      <c r="J28" s="137">
        <f>I28/$N$9</f>
        <v>0.8875739645</v>
      </c>
      <c r="K28" s="137">
        <f t="shared" si="12"/>
        <v>10.65088757</v>
      </c>
      <c r="L28" s="77">
        <f t="shared" si="13"/>
        <v>21.30177515</v>
      </c>
    </row>
    <row r="29">
      <c r="C29" s="201"/>
      <c r="D29" s="135" t="s">
        <v>93</v>
      </c>
      <c r="E29" s="135" t="s">
        <v>94</v>
      </c>
      <c r="F29" s="135">
        <v>2.0</v>
      </c>
      <c r="G29" s="136">
        <v>4.0</v>
      </c>
      <c r="H29" s="135">
        <v>6.0</v>
      </c>
      <c r="I29" s="137">
        <f>O12</f>
        <v>25.35</v>
      </c>
      <c r="J29" s="137">
        <v>3.75</v>
      </c>
      <c r="K29" s="137">
        <f t="shared" si="12"/>
        <v>45</v>
      </c>
      <c r="L29" s="77">
        <f t="shared" si="13"/>
        <v>90</v>
      </c>
    </row>
    <row r="30">
      <c r="C30" s="202">
        <v>5.0</v>
      </c>
      <c r="D30" s="115" t="s">
        <v>140</v>
      </c>
      <c r="E30" s="115" t="s">
        <v>91</v>
      </c>
      <c r="F30" s="115">
        <v>2.0</v>
      </c>
      <c r="G30" s="116">
        <v>4.0</v>
      </c>
      <c r="H30" s="115">
        <v>5.0</v>
      </c>
      <c r="I30" s="117">
        <v>3.0</v>
      </c>
      <c r="J30" s="117">
        <f>I30/$N$9</f>
        <v>0.8875739645</v>
      </c>
      <c r="K30" s="117">
        <f t="shared" si="12"/>
        <v>8.875739645</v>
      </c>
      <c r="L30" s="77">
        <f t="shared" si="13"/>
        <v>17.75147929</v>
      </c>
    </row>
    <row r="31">
      <c r="C31" s="203"/>
      <c r="D31" s="115" t="s">
        <v>93</v>
      </c>
      <c r="E31" s="115" t="s">
        <v>94</v>
      </c>
      <c r="F31" s="115">
        <v>2.0</v>
      </c>
      <c r="G31" s="116">
        <v>4.0</v>
      </c>
      <c r="H31" s="115">
        <v>5.0</v>
      </c>
      <c r="I31" s="117">
        <f>O12</f>
        <v>25.35</v>
      </c>
      <c r="J31" s="117">
        <v>3.75</v>
      </c>
      <c r="K31" s="117">
        <f t="shared" si="12"/>
        <v>37.5</v>
      </c>
      <c r="L31" s="77">
        <f t="shared" si="13"/>
        <v>75</v>
      </c>
    </row>
    <row r="32">
      <c r="C32" s="119" t="s">
        <v>157</v>
      </c>
      <c r="D32" s="53" t="s">
        <v>115</v>
      </c>
      <c r="E32" s="53" t="s">
        <v>115</v>
      </c>
      <c r="F32" s="53" t="s">
        <v>115</v>
      </c>
      <c r="G32" s="53"/>
      <c r="H32" s="53" t="s">
        <v>115</v>
      </c>
      <c r="I32" s="53"/>
      <c r="J32" s="80">
        <f t="shared" ref="J32:K32" si="19">SUM(J21:J31)</f>
        <v>23.18786982</v>
      </c>
      <c r="K32" s="80">
        <f t="shared" si="19"/>
        <v>272.9289941</v>
      </c>
      <c r="L32" s="80">
        <f>SUM(L22:L31)</f>
        <v>500.8579882</v>
      </c>
    </row>
    <row r="33">
      <c r="C33" s="194"/>
      <c r="D33" s="194"/>
      <c r="E33" s="194"/>
      <c r="F33" s="194"/>
      <c r="G33" s="194"/>
      <c r="H33" s="194"/>
      <c r="I33" s="194"/>
      <c r="J33" s="194"/>
      <c r="K33" s="194"/>
      <c r="L33" s="194"/>
    </row>
    <row r="34">
      <c r="C34" s="194"/>
      <c r="D34" s="194"/>
      <c r="E34" s="194"/>
      <c r="F34" s="194"/>
      <c r="G34" s="194"/>
      <c r="H34" s="194"/>
      <c r="I34" s="194"/>
      <c r="J34" s="194"/>
      <c r="K34" s="194"/>
      <c r="L34" s="194"/>
    </row>
    <row r="35">
      <c r="C35" s="61" t="s">
        <v>138</v>
      </c>
      <c r="D35" s="27"/>
      <c r="E35" s="27"/>
      <c r="F35" s="27"/>
      <c r="G35" s="27"/>
      <c r="H35" s="27"/>
      <c r="I35" s="27"/>
      <c r="J35" s="27"/>
      <c r="K35" s="27"/>
      <c r="L35" s="28"/>
    </row>
    <row r="36">
      <c r="C36" s="64" t="s">
        <v>76</v>
      </c>
      <c r="D36" s="64" t="s">
        <v>78</v>
      </c>
      <c r="E36" s="64" t="s">
        <v>29</v>
      </c>
      <c r="F36" s="64" t="s">
        <v>117</v>
      </c>
      <c r="G36" s="65" t="s">
        <v>80</v>
      </c>
      <c r="H36" s="64" t="s">
        <v>81</v>
      </c>
      <c r="I36" s="67" t="s">
        <v>82</v>
      </c>
      <c r="J36" s="67" t="s">
        <v>83</v>
      </c>
      <c r="K36" s="67" t="s">
        <v>84</v>
      </c>
      <c r="L36" s="67" t="s">
        <v>85</v>
      </c>
      <c r="R36" s="187" t="s">
        <v>139</v>
      </c>
      <c r="S36" s="187" t="s">
        <v>164</v>
      </c>
      <c r="T36" s="187" t="s">
        <v>165</v>
      </c>
    </row>
    <row r="37">
      <c r="C37" s="94">
        <v>1.0</v>
      </c>
      <c r="D37" s="96" t="s">
        <v>140</v>
      </c>
      <c r="E37" s="96" t="s">
        <v>91</v>
      </c>
      <c r="F37" s="96">
        <v>2.0</v>
      </c>
      <c r="G37" s="97">
        <v>4.0</v>
      </c>
      <c r="H37" s="97">
        <v>1.0</v>
      </c>
      <c r="I37" s="102">
        <v>3.0</v>
      </c>
      <c r="J37" s="99">
        <f>I37/N9</f>
        <v>0.8875739645</v>
      </c>
      <c r="K37" s="99">
        <f t="shared" ref="K37:K48" si="21">J37*F37*H37</f>
        <v>1.775147929</v>
      </c>
      <c r="L37" s="77">
        <f t="shared" ref="L37:L48" si="22">G37*H37*J37</f>
        <v>3.550295858</v>
      </c>
      <c r="R37" s="189">
        <v>1.0</v>
      </c>
      <c r="S37" s="190">
        <f t="shared" ref="S37:T37" si="20">K37+K38</f>
        <v>9.278106509</v>
      </c>
      <c r="T37" s="190">
        <f t="shared" si="20"/>
        <v>18.55621302</v>
      </c>
    </row>
    <row r="38">
      <c r="C38" s="81"/>
      <c r="D38" s="96" t="s">
        <v>142</v>
      </c>
      <c r="E38" s="96" t="s">
        <v>94</v>
      </c>
      <c r="F38" s="96">
        <v>2.0</v>
      </c>
      <c r="G38" s="97">
        <v>4.0</v>
      </c>
      <c r="H38" s="97">
        <v>1.0</v>
      </c>
      <c r="I38" s="102">
        <v>12.68</v>
      </c>
      <c r="J38" s="99">
        <f t="shared" ref="J38:J48" si="24">I38/$N$9</f>
        <v>3.75147929</v>
      </c>
      <c r="K38" s="99">
        <f t="shared" si="21"/>
        <v>7.50295858</v>
      </c>
      <c r="L38" s="77">
        <f t="shared" si="22"/>
        <v>15.00591716</v>
      </c>
      <c r="R38" s="189">
        <v>2.0</v>
      </c>
      <c r="S38" s="190">
        <f t="shared" ref="S38:T38" si="23">K39+K40</f>
        <v>33.15976331</v>
      </c>
      <c r="T38" s="190">
        <f t="shared" si="23"/>
        <v>111.3372781</v>
      </c>
    </row>
    <row r="39">
      <c r="C39" s="198">
        <v>2.0</v>
      </c>
      <c r="D39" s="87" t="s">
        <v>140</v>
      </c>
      <c r="E39" s="87" t="s">
        <v>91</v>
      </c>
      <c r="F39" s="87">
        <v>2.0</v>
      </c>
      <c r="G39" s="88">
        <v>4.0</v>
      </c>
      <c r="H39" s="88">
        <v>6.0</v>
      </c>
      <c r="I39" s="91">
        <v>3.0</v>
      </c>
      <c r="J39" s="91">
        <f t="shared" si="24"/>
        <v>0.8875739645</v>
      </c>
      <c r="K39" s="91">
        <f t="shared" si="21"/>
        <v>10.65088757</v>
      </c>
      <c r="L39" s="77">
        <f t="shared" si="22"/>
        <v>21.30177515</v>
      </c>
      <c r="R39" s="189">
        <v>3.0</v>
      </c>
      <c r="S39" s="190">
        <f t="shared" ref="S39:T39" si="25">K41+K42</f>
        <v>78.17751479</v>
      </c>
      <c r="T39" s="190">
        <f t="shared" si="25"/>
        <v>111.3372781</v>
      </c>
    </row>
    <row r="40">
      <c r="C40" s="199"/>
      <c r="D40" s="87" t="s">
        <v>175</v>
      </c>
      <c r="E40" s="87" t="s">
        <v>94</v>
      </c>
      <c r="F40" s="87">
        <v>1.0</v>
      </c>
      <c r="G40" s="88">
        <v>4.0</v>
      </c>
      <c r="H40" s="88">
        <v>6.0</v>
      </c>
      <c r="I40" s="91">
        <v>12.68</v>
      </c>
      <c r="J40" s="91">
        <f t="shared" si="24"/>
        <v>3.75147929</v>
      </c>
      <c r="K40" s="91">
        <f t="shared" si="21"/>
        <v>22.50887574</v>
      </c>
      <c r="L40" s="77">
        <f t="shared" si="22"/>
        <v>90.03550296</v>
      </c>
      <c r="R40" s="189">
        <v>4.0</v>
      </c>
      <c r="S40" s="190">
        <f t="shared" ref="S40:T40" si="26">K43+K44</f>
        <v>78.17751479</v>
      </c>
      <c r="T40" s="190">
        <f t="shared" si="26"/>
        <v>111.3372781</v>
      </c>
    </row>
    <row r="41">
      <c r="C41" s="147">
        <v>3.0</v>
      </c>
      <c r="D41" s="149" t="s">
        <v>140</v>
      </c>
      <c r="E41" s="149" t="s">
        <v>91</v>
      </c>
      <c r="F41" s="149">
        <v>2.0</v>
      </c>
      <c r="G41" s="79">
        <v>4.0</v>
      </c>
      <c r="H41" s="79">
        <v>6.0</v>
      </c>
      <c r="I41" s="204">
        <v>3.0</v>
      </c>
      <c r="J41" s="204">
        <f t="shared" si="24"/>
        <v>0.8875739645</v>
      </c>
      <c r="K41" s="204">
        <f t="shared" si="21"/>
        <v>10.65088757</v>
      </c>
      <c r="L41" s="77">
        <f t="shared" si="22"/>
        <v>21.30177515</v>
      </c>
      <c r="R41" s="189">
        <v>5.0</v>
      </c>
      <c r="S41" s="190">
        <f t="shared" ref="S41:T41" si="27">K45+K46+K47+K48</f>
        <v>64.94674556</v>
      </c>
      <c r="T41" s="190">
        <f t="shared" si="27"/>
        <v>129.8934911</v>
      </c>
    </row>
    <row r="42">
      <c r="C42" s="145"/>
      <c r="D42" s="205" t="s">
        <v>176</v>
      </c>
      <c r="E42" s="149" t="s">
        <v>94</v>
      </c>
      <c r="F42" s="149">
        <v>3.0</v>
      </c>
      <c r="G42" s="79">
        <v>4.0</v>
      </c>
      <c r="H42" s="79">
        <v>6.0</v>
      </c>
      <c r="I42" s="204">
        <v>12.68</v>
      </c>
      <c r="J42" s="204">
        <f t="shared" si="24"/>
        <v>3.75147929</v>
      </c>
      <c r="K42" s="204">
        <f t="shared" si="21"/>
        <v>67.52662722</v>
      </c>
      <c r="L42" s="77">
        <f t="shared" si="22"/>
        <v>90.03550296</v>
      </c>
      <c r="R42" s="192" t="s">
        <v>70</v>
      </c>
      <c r="S42" s="193">
        <f t="shared" ref="S42:T42" si="28">SUM(S37:S41)</f>
        <v>263.739645</v>
      </c>
      <c r="T42" s="193">
        <f t="shared" si="28"/>
        <v>482.4615385</v>
      </c>
    </row>
    <row r="43">
      <c r="C43" s="72">
        <v>4.0</v>
      </c>
      <c r="D43" s="74" t="s">
        <v>140</v>
      </c>
      <c r="E43" s="155" t="s">
        <v>91</v>
      </c>
      <c r="F43" s="155">
        <v>2.0</v>
      </c>
      <c r="G43" s="153">
        <v>4.0</v>
      </c>
      <c r="H43" s="153">
        <v>6.0</v>
      </c>
      <c r="I43" s="158">
        <v>3.0</v>
      </c>
      <c r="J43" s="158">
        <f t="shared" si="24"/>
        <v>0.8875739645</v>
      </c>
      <c r="K43" s="158">
        <f t="shared" si="21"/>
        <v>10.65088757</v>
      </c>
      <c r="L43" s="77">
        <f t="shared" si="22"/>
        <v>21.30177515</v>
      </c>
    </row>
    <row r="44">
      <c r="C44" s="81"/>
      <c r="D44" s="74" t="s">
        <v>142</v>
      </c>
      <c r="E44" s="155" t="s">
        <v>94</v>
      </c>
      <c r="F44" s="155">
        <v>3.0</v>
      </c>
      <c r="G44" s="153">
        <v>4.0</v>
      </c>
      <c r="H44" s="153">
        <v>6.0</v>
      </c>
      <c r="I44" s="158">
        <v>12.68</v>
      </c>
      <c r="J44" s="158">
        <f t="shared" si="24"/>
        <v>3.75147929</v>
      </c>
      <c r="K44" s="158">
        <f t="shared" si="21"/>
        <v>67.52662722</v>
      </c>
      <c r="L44" s="77">
        <f t="shared" si="22"/>
        <v>90.03550296</v>
      </c>
    </row>
    <row r="45">
      <c r="C45" s="161">
        <v>5.0</v>
      </c>
      <c r="D45" s="163" t="s">
        <v>140</v>
      </c>
      <c r="E45" s="163" t="s">
        <v>91</v>
      </c>
      <c r="F45" s="163">
        <v>2.0</v>
      </c>
      <c r="G45" s="164">
        <v>4.0</v>
      </c>
      <c r="H45" s="164">
        <v>4.0</v>
      </c>
      <c r="I45" s="165">
        <v>3.0</v>
      </c>
      <c r="J45" s="166">
        <f t="shared" si="24"/>
        <v>0.8875739645</v>
      </c>
      <c r="K45" s="166">
        <f t="shared" si="21"/>
        <v>7.100591716</v>
      </c>
      <c r="L45" s="77">
        <f t="shared" si="22"/>
        <v>14.20118343</v>
      </c>
    </row>
    <row r="46">
      <c r="C46" s="92"/>
      <c r="D46" s="163" t="s">
        <v>142</v>
      </c>
      <c r="E46" s="163" t="s">
        <v>94</v>
      </c>
      <c r="F46" s="163">
        <v>3.0</v>
      </c>
      <c r="G46" s="164">
        <v>4.0</v>
      </c>
      <c r="H46" s="164">
        <v>4.0</v>
      </c>
      <c r="I46" s="165">
        <v>12.68</v>
      </c>
      <c r="J46" s="166">
        <f t="shared" si="24"/>
        <v>3.75147929</v>
      </c>
      <c r="K46" s="166">
        <f t="shared" si="21"/>
        <v>45.01775148</v>
      </c>
      <c r="L46" s="77">
        <f t="shared" si="22"/>
        <v>60.02366864</v>
      </c>
    </row>
    <row r="47">
      <c r="C47" s="92"/>
      <c r="D47" s="163" t="s">
        <v>140</v>
      </c>
      <c r="E47" s="163" t="s">
        <v>91</v>
      </c>
      <c r="F47" s="164">
        <v>6.0</v>
      </c>
      <c r="G47" s="164">
        <v>12.0</v>
      </c>
      <c r="H47" s="164">
        <v>1.0</v>
      </c>
      <c r="I47" s="165">
        <v>3.0</v>
      </c>
      <c r="J47" s="166">
        <f t="shared" si="24"/>
        <v>0.8875739645</v>
      </c>
      <c r="K47" s="166">
        <f t="shared" si="21"/>
        <v>5.325443787</v>
      </c>
      <c r="L47" s="77">
        <f t="shared" si="22"/>
        <v>10.65088757</v>
      </c>
      <c r="M47" s="31">
        <v>3.38</v>
      </c>
    </row>
    <row r="48">
      <c r="C48" s="81"/>
      <c r="D48" s="170" t="s">
        <v>146</v>
      </c>
      <c r="E48" s="163" t="s">
        <v>94</v>
      </c>
      <c r="F48" s="164">
        <v>2.0</v>
      </c>
      <c r="G48" s="164">
        <v>12.0</v>
      </c>
      <c r="H48" s="164">
        <v>1.0</v>
      </c>
      <c r="I48" s="165">
        <v>12.68</v>
      </c>
      <c r="J48" s="166">
        <f t="shared" si="24"/>
        <v>3.75147929</v>
      </c>
      <c r="K48" s="166">
        <f t="shared" si="21"/>
        <v>7.50295858</v>
      </c>
      <c r="L48" s="77">
        <f t="shared" si="22"/>
        <v>45.01775148</v>
      </c>
    </row>
    <row r="49">
      <c r="C49" s="119" t="s">
        <v>157</v>
      </c>
      <c r="D49" s="53"/>
      <c r="E49" s="53"/>
      <c r="F49" s="53"/>
      <c r="G49" s="53"/>
      <c r="H49" s="53"/>
      <c r="I49" s="80">
        <f t="shared" ref="I49:J49" si="29">SUM(I37:I42)</f>
        <v>47.04</v>
      </c>
      <c r="J49" s="80">
        <f t="shared" si="29"/>
        <v>13.91715976</v>
      </c>
      <c r="K49" s="80">
        <f t="shared" ref="K49:L49" si="30">SUM(K37:K48)</f>
        <v>263.739645</v>
      </c>
      <c r="L49" s="80">
        <f t="shared" si="30"/>
        <v>482.4615385</v>
      </c>
    </row>
    <row r="54" ht="21.0" customHeight="1">
      <c r="E54" s="206" t="s">
        <v>177</v>
      </c>
      <c r="F54" s="28"/>
      <c r="G54" s="207">
        <f>L49+L32+L17</f>
        <v>1416.408284</v>
      </c>
    </row>
    <row r="57" ht="21.0" customHeight="1">
      <c r="E57" s="206" t="s">
        <v>178</v>
      </c>
      <c r="F57" s="28"/>
      <c r="G57" s="207">
        <f>K17+K32+K49</f>
        <v>734.7573964</v>
      </c>
    </row>
  </sheetData>
  <mergeCells count="15">
    <mergeCell ref="C22:C23"/>
    <mergeCell ref="C35:L35"/>
    <mergeCell ref="C37:C38"/>
    <mergeCell ref="C41:C42"/>
    <mergeCell ref="C43:C44"/>
    <mergeCell ref="C45:C48"/>
    <mergeCell ref="E54:F54"/>
    <mergeCell ref="E57:F57"/>
    <mergeCell ref="C5:L5"/>
    <mergeCell ref="C7:C8"/>
    <mergeCell ref="C9:C10"/>
    <mergeCell ref="C11:C12"/>
    <mergeCell ref="C13:C14"/>
    <mergeCell ref="C15:C16"/>
    <mergeCell ref="C20:L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71"/>
    <col customWidth="1" min="3" max="3" width="39.71"/>
    <col customWidth="1" min="4" max="4" width="13.86"/>
    <col customWidth="1" min="5" max="7" width="10.71"/>
    <col customWidth="1" min="9" max="9" width="15.14"/>
    <col customWidth="1" min="10" max="10" width="13.0"/>
    <col customWidth="1" min="11" max="11" width="17.57"/>
    <col customWidth="1" min="12" max="16" width="10.71"/>
    <col customWidth="1" min="17" max="17" width="18.14"/>
    <col customWidth="1" min="18" max="18" width="14.14"/>
    <col customWidth="1" min="19" max="19" width="14.57"/>
    <col customWidth="1" min="20" max="28" width="10.71"/>
  </cols>
  <sheetData>
    <row r="1">
      <c r="A1" s="49"/>
      <c r="B1" s="49"/>
      <c r="C1" s="49"/>
      <c r="D1" s="49"/>
      <c r="E1" s="49"/>
      <c r="F1" s="49"/>
      <c r="G1" s="49"/>
      <c r="H1" s="50"/>
      <c r="I1" s="50"/>
      <c r="J1" s="50"/>
      <c r="K1" s="51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ht="36.0" customHeight="1">
      <c r="A2" s="52" t="s">
        <v>68</v>
      </c>
      <c r="B2" s="208">
        <v>5000.0</v>
      </c>
      <c r="C2" s="54" t="s">
        <v>69</v>
      </c>
      <c r="D2" s="208">
        <v>44.0</v>
      </c>
      <c r="E2" s="49"/>
      <c r="F2" s="49"/>
      <c r="G2" s="49"/>
      <c r="H2" s="209" t="s">
        <v>70</v>
      </c>
      <c r="I2" s="210">
        <f>K21+K34+K45</f>
        <v>2911.071479</v>
      </c>
      <c r="J2" s="50"/>
      <c r="K2" s="51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49"/>
      <c r="B3" s="49"/>
      <c r="C3" s="49"/>
      <c r="D3" s="49"/>
      <c r="E3" s="49"/>
      <c r="F3" s="49"/>
      <c r="G3" s="49"/>
      <c r="H3" s="50"/>
      <c r="I3" s="50"/>
      <c r="J3" s="50"/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ht="25.5" customHeight="1">
      <c r="A4" s="54" t="s">
        <v>71</v>
      </c>
      <c r="B4" s="59">
        <f>(D2*10000)/B2</f>
        <v>88</v>
      </c>
      <c r="C4" s="60" t="s">
        <v>72</v>
      </c>
      <c r="D4" s="49"/>
      <c r="E4" s="49"/>
      <c r="F4" s="49"/>
      <c r="G4" s="49"/>
      <c r="H4" s="49"/>
      <c r="I4" s="49">
        <f>(I2/'Costeo General'!I2)*100</f>
        <v>65.40252114</v>
      </c>
      <c r="J4" s="49"/>
      <c r="K4" s="51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>
      <c r="A6" s="61" t="s">
        <v>73</v>
      </c>
      <c r="B6" s="27"/>
      <c r="C6" s="27"/>
      <c r="D6" s="27"/>
      <c r="E6" s="27"/>
      <c r="F6" s="27"/>
      <c r="G6" s="27"/>
      <c r="H6" s="27"/>
      <c r="I6" s="27"/>
      <c r="J6" s="27"/>
      <c r="K6" s="28"/>
      <c r="L6" s="49"/>
      <c r="M6" s="62" t="s">
        <v>74</v>
      </c>
      <c r="N6" s="28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ht="31.5" customHeight="1">
      <c r="A7" s="64" t="s">
        <v>76</v>
      </c>
      <c r="B7" s="64" t="s">
        <v>77</v>
      </c>
      <c r="C7" s="64" t="s">
        <v>78</v>
      </c>
      <c r="D7" s="64" t="s">
        <v>29</v>
      </c>
      <c r="E7" s="65" t="s">
        <v>79</v>
      </c>
      <c r="F7" s="65" t="s">
        <v>179</v>
      </c>
      <c r="G7" s="64" t="s">
        <v>81</v>
      </c>
      <c r="H7" s="67" t="s">
        <v>82</v>
      </c>
      <c r="I7" s="67" t="s">
        <v>83</v>
      </c>
      <c r="J7" s="67" t="s">
        <v>84</v>
      </c>
      <c r="K7" s="211" t="s">
        <v>85</v>
      </c>
      <c r="L7" s="69"/>
      <c r="M7" s="70" t="s">
        <v>86</v>
      </c>
      <c r="N7" s="28"/>
      <c r="O7" s="69"/>
      <c r="P7" s="69"/>
      <c r="Q7" s="187" t="s">
        <v>139</v>
      </c>
      <c r="R7" s="187" t="s">
        <v>164</v>
      </c>
      <c r="S7" s="187" t="s">
        <v>165</v>
      </c>
      <c r="T7" s="69"/>
      <c r="U7" s="69"/>
      <c r="V7" s="69"/>
      <c r="W7" s="69"/>
      <c r="X7" s="69"/>
      <c r="Y7" s="69"/>
      <c r="Z7" s="69"/>
      <c r="AA7" s="69"/>
      <c r="AB7" s="69"/>
    </row>
    <row r="8">
      <c r="A8" s="73">
        <v>1.0</v>
      </c>
      <c r="B8" s="73" t="s">
        <v>89</v>
      </c>
      <c r="C8" s="74" t="s">
        <v>90</v>
      </c>
      <c r="D8" s="74" t="s">
        <v>91</v>
      </c>
      <c r="E8" s="74">
        <v>2.0</v>
      </c>
      <c r="F8" s="74"/>
      <c r="G8" s="74">
        <v>6.0</v>
      </c>
      <c r="H8" s="76">
        <v>3.0</v>
      </c>
      <c r="I8" s="76">
        <f>H8/M10</f>
        <v>0.8875739645</v>
      </c>
      <c r="J8" s="76">
        <f t="shared" ref="J8:J12" si="1">I8*E8*G8</f>
        <v>10.65088757</v>
      </c>
      <c r="K8" s="212">
        <f t="shared" ref="K8:K12" si="2">(J8*10000)/$B$4</f>
        <v>1210.328133</v>
      </c>
      <c r="L8" s="49"/>
      <c r="M8" s="49"/>
      <c r="N8" s="49"/>
      <c r="O8" s="49"/>
      <c r="P8" s="49"/>
      <c r="Q8" s="53"/>
      <c r="R8" s="53"/>
      <c r="S8" s="53"/>
      <c r="T8" s="49"/>
      <c r="U8" s="49"/>
      <c r="V8" s="49"/>
      <c r="W8" s="49"/>
      <c r="X8" s="49"/>
      <c r="Y8" s="49"/>
      <c r="Z8" s="49"/>
      <c r="AA8" s="49"/>
      <c r="AB8" s="49"/>
    </row>
    <row r="9">
      <c r="A9" s="81"/>
      <c r="B9" s="81"/>
      <c r="C9" s="74" t="s">
        <v>93</v>
      </c>
      <c r="D9" s="74" t="s">
        <v>94</v>
      </c>
      <c r="E9" s="74">
        <v>2.0</v>
      </c>
      <c r="F9" s="74"/>
      <c r="G9" s="74">
        <v>6.0</v>
      </c>
      <c r="H9" s="76">
        <f>I9*$M$10</f>
        <v>25.35</v>
      </c>
      <c r="I9" s="76">
        <v>7.5</v>
      </c>
      <c r="J9" s="76">
        <f t="shared" si="1"/>
        <v>90</v>
      </c>
      <c r="K9" s="212">
        <f t="shared" si="2"/>
        <v>10227.27273</v>
      </c>
      <c r="L9" s="49"/>
      <c r="M9" s="83">
        <v>1.0</v>
      </c>
      <c r="N9" s="84" t="s">
        <v>95</v>
      </c>
      <c r="O9" s="49"/>
      <c r="P9" s="49"/>
      <c r="Q9" s="53"/>
      <c r="R9" s="53"/>
      <c r="S9" s="53"/>
      <c r="T9" s="49"/>
      <c r="U9" s="49"/>
      <c r="V9" s="49"/>
      <c r="W9" s="49"/>
      <c r="X9" s="49"/>
      <c r="Y9" s="49"/>
      <c r="Z9" s="49"/>
      <c r="AA9" s="49"/>
      <c r="AB9" s="49"/>
    </row>
    <row r="10">
      <c r="A10" s="86">
        <v>2.0</v>
      </c>
      <c r="B10" s="86" t="s">
        <v>89</v>
      </c>
      <c r="C10" s="87" t="s">
        <v>90</v>
      </c>
      <c r="D10" s="87" t="s">
        <v>91</v>
      </c>
      <c r="E10" s="87">
        <v>2.0</v>
      </c>
      <c r="F10" s="87"/>
      <c r="G10" s="87">
        <v>6.0</v>
      </c>
      <c r="H10" s="89">
        <v>3.0</v>
      </c>
      <c r="I10" s="89">
        <f>H10/$M$10</f>
        <v>0.8875739645</v>
      </c>
      <c r="J10" s="89">
        <f t="shared" si="1"/>
        <v>10.65088757</v>
      </c>
      <c r="K10" s="212">
        <f t="shared" si="2"/>
        <v>1210.328133</v>
      </c>
      <c r="L10" s="49"/>
      <c r="M10" s="83">
        <v>3.38</v>
      </c>
      <c r="N10" s="84" t="s">
        <v>97</v>
      </c>
      <c r="O10" s="49"/>
      <c r="P10" s="49"/>
      <c r="Q10" s="53"/>
      <c r="R10" s="53"/>
      <c r="S10" s="53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81"/>
      <c r="B11" s="81"/>
      <c r="C11" s="87" t="s">
        <v>93</v>
      </c>
      <c r="D11" s="87" t="s">
        <v>94</v>
      </c>
      <c r="E11" s="87">
        <v>2.0</v>
      </c>
      <c r="F11" s="87"/>
      <c r="G11" s="87">
        <v>6.0</v>
      </c>
      <c r="H11" s="89">
        <f t="shared" ref="H11:H13" si="3">I11*$M$10</f>
        <v>25.35</v>
      </c>
      <c r="I11" s="89">
        <v>7.5</v>
      </c>
      <c r="J11" s="89">
        <f t="shared" si="1"/>
        <v>90</v>
      </c>
      <c r="K11" s="212">
        <f t="shared" si="2"/>
        <v>10227.27273</v>
      </c>
      <c r="L11" s="49"/>
      <c r="M11" s="49"/>
      <c r="N11" s="49"/>
      <c r="O11" s="49"/>
      <c r="P11" s="49"/>
      <c r="Q11" s="53"/>
      <c r="R11" s="53"/>
      <c r="S11" s="53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95">
        <v>3.0</v>
      </c>
      <c r="B12" s="95" t="s">
        <v>89</v>
      </c>
      <c r="C12" s="96" t="s">
        <v>90</v>
      </c>
      <c r="D12" s="96" t="s">
        <v>91</v>
      </c>
      <c r="E12" s="96">
        <v>2.0</v>
      </c>
      <c r="F12" s="96"/>
      <c r="G12" s="96">
        <v>6.0</v>
      </c>
      <c r="H12" s="98">
        <f t="shared" si="3"/>
        <v>25.35</v>
      </c>
      <c r="I12" s="98">
        <v>7.5</v>
      </c>
      <c r="J12" s="99">
        <f t="shared" si="1"/>
        <v>90</v>
      </c>
      <c r="K12" s="212">
        <f t="shared" si="2"/>
        <v>10227.27273</v>
      </c>
      <c r="L12" s="49"/>
      <c r="M12" s="53" t="s">
        <v>180</v>
      </c>
      <c r="N12" s="53" t="s">
        <v>181</v>
      </c>
      <c r="O12" s="49"/>
      <c r="P12" s="49"/>
      <c r="Q12" s="53"/>
      <c r="R12" s="53"/>
      <c r="S12" s="53"/>
      <c r="T12" s="49"/>
      <c r="U12" s="49"/>
      <c r="V12" s="49"/>
      <c r="W12" s="49"/>
      <c r="X12" s="49"/>
      <c r="Y12" s="49"/>
      <c r="Z12" s="49"/>
      <c r="AA12" s="49"/>
      <c r="AB12" s="49"/>
    </row>
    <row r="13" ht="33.0" customHeight="1">
      <c r="A13" s="92"/>
      <c r="B13" s="81"/>
      <c r="C13" s="101" t="s">
        <v>103</v>
      </c>
      <c r="D13" s="96" t="s">
        <v>94</v>
      </c>
      <c r="E13" s="96">
        <v>1.0</v>
      </c>
      <c r="F13" s="96"/>
      <c r="G13" s="96"/>
      <c r="H13" s="99">
        <f t="shared" si="3"/>
        <v>12.675</v>
      </c>
      <c r="I13" s="99">
        <f>(E13*$M$13)/N13</f>
        <v>3.75</v>
      </c>
      <c r="J13" s="99">
        <f t="shared" ref="J13:J14" si="4">I13*E13</f>
        <v>3.75</v>
      </c>
      <c r="K13" s="212">
        <f>J13</f>
        <v>3.75</v>
      </c>
      <c r="L13" s="49"/>
      <c r="M13" s="53">
        <v>30.0</v>
      </c>
      <c r="N13" s="53">
        <v>8.0</v>
      </c>
      <c r="O13" s="49"/>
      <c r="P13" s="49"/>
      <c r="Q13" s="53"/>
      <c r="R13" s="53"/>
      <c r="S13" s="53"/>
      <c r="T13" s="49"/>
      <c r="U13" s="49"/>
      <c r="V13" s="49"/>
      <c r="W13" s="49"/>
      <c r="X13" s="49"/>
      <c r="Y13" s="49"/>
      <c r="Z13" s="49"/>
      <c r="AA13" s="49"/>
      <c r="AB13" s="49"/>
    </row>
    <row r="14" ht="15.0" customHeight="1">
      <c r="A14" s="81"/>
      <c r="B14" s="96" t="s">
        <v>182</v>
      </c>
      <c r="C14" s="101" t="s">
        <v>105</v>
      </c>
      <c r="D14" s="96" t="s">
        <v>29</v>
      </c>
      <c r="E14" s="96">
        <v>1.0</v>
      </c>
      <c r="F14" s="97">
        <v>1.0</v>
      </c>
      <c r="G14" s="97">
        <v>1.0</v>
      </c>
      <c r="H14" s="99">
        <v>45.0</v>
      </c>
      <c r="I14" s="99">
        <f t="shared" ref="I14:I15" si="6">H14/$M$10</f>
        <v>13.31360947</v>
      </c>
      <c r="J14" s="99">
        <f t="shared" si="4"/>
        <v>13.31360947</v>
      </c>
      <c r="K14" s="212">
        <f t="shared" ref="K14:K18" si="7">F14*G14*I14</f>
        <v>13.31360947</v>
      </c>
      <c r="L14" s="49"/>
      <c r="M14" s="49"/>
      <c r="N14" s="49"/>
      <c r="O14" s="49"/>
      <c r="P14" s="49"/>
      <c r="Q14" s="213">
        <v>3.0</v>
      </c>
      <c r="R14" s="80">
        <f t="shared" ref="R14:S14" si="5">J14</f>
        <v>13.31360947</v>
      </c>
      <c r="S14" s="80">
        <f t="shared" si="5"/>
        <v>13.31360947</v>
      </c>
      <c r="T14" s="49"/>
      <c r="U14" s="49"/>
      <c r="V14" s="49"/>
      <c r="W14" s="49"/>
      <c r="X14" s="49"/>
      <c r="Y14" s="49"/>
      <c r="Z14" s="49"/>
      <c r="AA14" s="49"/>
      <c r="AB14" s="49"/>
    </row>
    <row r="15">
      <c r="A15" s="106">
        <v>4.0</v>
      </c>
      <c r="B15" s="106" t="s">
        <v>89</v>
      </c>
      <c r="C15" s="107" t="s">
        <v>90</v>
      </c>
      <c r="D15" s="107" t="s">
        <v>91</v>
      </c>
      <c r="E15" s="107">
        <v>2.0</v>
      </c>
      <c r="F15" s="107"/>
      <c r="G15" s="107">
        <v>6.0</v>
      </c>
      <c r="H15" s="109">
        <v>3.0</v>
      </c>
      <c r="I15" s="109">
        <f t="shared" si="6"/>
        <v>0.8875739645</v>
      </c>
      <c r="J15" s="109">
        <f t="shared" ref="J15:J16" si="8">I15*E15*G15</f>
        <v>10.65088757</v>
      </c>
      <c r="K15" s="212">
        <f t="shared" si="7"/>
        <v>0</v>
      </c>
      <c r="L15" s="49"/>
      <c r="M15" s="110" t="s">
        <v>110</v>
      </c>
      <c r="N15" s="28"/>
      <c r="O15" s="49"/>
      <c r="P15" s="49"/>
      <c r="Q15" s="119"/>
      <c r="R15" s="53"/>
      <c r="S15" s="53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92"/>
      <c r="B16" s="81"/>
      <c r="C16" s="107" t="s">
        <v>93</v>
      </c>
      <c r="D16" s="107" t="s">
        <v>94</v>
      </c>
      <c r="E16" s="107">
        <v>2.0</v>
      </c>
      <c r="F16" s="107"/>
      <c r="G16" s="107">
        <v>6.0</v>
      </c>
      <c r="H16" s="109">
        <f>I16*$M$10</f>
        <v>25.35</v>
      </c>
      <c r="I16" s="109">
        <v>7.5</v>
      </c>
      <c r="J16" s="109">
        <f t="shared" si="8"/>
        <v>90</v>
      </c>
      <c r="K16" s="212">
        <f t="shared" si="7"/>
        <v>0</v>
      </c>
      <c r="L16" s="49"/>
      <c r="M16" s="53" t="s">
        <v>111</v>
      </c>
      <c r="N16" s="53">
        <v>0.4</v>
      </c>
      <c r="O16" s="49"/>
      <c r="P16" s="49"/>
      <c r="Q16" s="119"/>
      <c r="R16" s="53"/>
      <c r="S16" s="53"/>
      <c r="T16" s="49"/>
      <c r="U16" s="49"/>
      <c r="V16" s="49"/>
      <c r="W16" s="49"/>
      <c r="X16" s="49"/>
      <c r="Y16" s="49"/>
      <c r="Z16" s="49"/>
      <c r="AA16" s="49"/>
      <c r="AB16" s="49"/>
    </row>
    <row r="17">
      <c r="A17" s="92"/>
      <c r="B17" s="106" t="s">
        <v>182</v>
      </c>
      <c r="C17" s="107" t="s">
        <v>183</v>
      </c>
      <c r="D17" s="107" t="s">
        <v>29</v>
      </c>
      <c r="E17" s="107">
        <v>2.0</v>
      </c>
      <c r="F17" s="107">
        <v>2.0</v>
      </c>
      <c r="G17" s="108">
        <v>1.0</v>
      </c>
      <c r="H17" s="109">
        <v>2.0</v>
      </c>
      <c r="I17" s="109">
        <f t="shared" ref="I17:I19" si="10">H17/$M$10</f>
        <v>0.5917159763</v>
      </c>
      <c r="J17" s="109">
        <f t="shared" ref="J17:J18" si="11">I17*E17</f>
        <v>1.183431953</v>
      </c>
      <c r="K17" s="212">
        <f t="shared" si="7"/>
        <v>1.183431953</v>
      </c>
      <c r="L17" s="49"/>
      <c r="M17" s="53" t="s">
        <v>113</v>
      </c>
      <c r="N17" s="53">
        <v>2.0</v>
      </c>
      <c r="O17" s="49"/>
      <c r="P17" s="49"/>
      <c r="Q17" s="213">
        <v>4.0</v>
      </c>
      <c r="R17" s="80">
        <f t="shared" ref="R17:S17" si="9">J17+J18</f>
        <v>1.479289941</v>
      </c>
      <c r="S17" s="80">
        <f t="shared" si="9"/>
        <v>1.479289941</v>
      </c>
      <c r="T17" s="49"/>
      <c r="U17" s="49"/>
      <c r="V17" s="49"/>
      <c r="W17" s="49"/>
      <c r="X17" s="49"/>
      <c r="Y17" s="49"/>
      <c r="Z17" s="49"/>
      <c r="AA17" s="49"/>
      <c r="AB17" s="49"/>
    </row>
    <row r="18">
      <c r="A18" s="81"/>
      <c r="B18" s="81"/>
      <c r="C18" s="107" t="s">
        <v>114</v>
      </c>
      <c r="D18" s="107">
        <v>1.0</v>
      </c>
      <c r="E18" s="107">
        <v>1.0</v>
      </c>
      <c r="F18" s="107">
        <v>1.0</v>
      </c>
      <c r="G18" s="108">
        <v>1.0</v>
      </c>
      <c r="H18" s="109">
        <v>1.0</v>
      </c>
      <c r="I18" s="109">
        <f t="shared" si="10"/>
        <v>0.2958579882</v>
      </c>
      <c r="J18" s="109">
        <f t="shared" si="11"/>
        <v>0.2958579882</v>
      </c>
      <c r="K18" s="212">
        <f t="shared" si="7"/>
        <v>0.2958579882</v>
      </c>
      <c r="L18" s="49"/>
      <c r="M18" s="49"/>
      <c r="N18" s="49"/>
      <c r="O18" s="49"/>
      <c r="P18" s="49"/>
      <c r="Q18" s="214" t="s">
        <v>70</v>
      </c>
      <c r="R18" s="215">
        <f t="shared" ref="R18:S18" si="12">SUM(R14:R17)</f>
        <v>14.79289941</v>
      </c>
      <c r="S18" s="215">
        <f t="shared" si="12"/>
        <v>14.79289941</v>
      </c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114">
        <v>5.0</v>
      </c>
      <c r="B19" s="114" t="s">
        <v>89</v>
      </c>
      <c r="C19" s="115" t="s">
        <v>90</v>
      </c>
      <c r="D19" s="115" t="s">
        <v>91</v>
      </c>
      <c r="E19" s="115">
        <v>2.0</v>
      </c>
      <c r="F19" s="115"/>
      <c r="G19" s="115">
        <v>6.0</v>
      </c>
      <c r="H19" s="117">
        <v>3.0</v>
      </c>
      <c r="I19" s="117">
        <f t="shared" si="10"/>
        <v>0.8875739645</v>
      </c>
      <c r="J19" s="117">
        <f t="shared" ref="J19:J20" si="13">I19*E19*G19</f>
        <v>10.65088757</v>
      </c>
      <c r="K19" s="212">
        <f t="shared" ref="K19:K20" si="14">(J19*10000)/$B$4</f>
        <v>1210.328133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A20" s="81"/>
      <c r="B20" s="81"/>
      <c r="C20" s="115" t="s">
        <v>93</v>
      </c>
      <c r="D20" s="115" t="s">
        <v>94</v>
      </c>
      <c r="E20" s="115">
        <v>2.0</v>
      </c>
      <c r="F20" s="115"/>
      <c r="G20" s="115">
        <v>6.0</v>
      </c>
      <c r="H20" s="117">
        <f>I20*$M$10</f>
        <v>25.35</v>
      </c>
      <c r="I20" s="117">
        <v>7.5</v>
      </c>
      <c r="J20" s="117">
        <f t="shared" si="13"/>
        <v>90</v>
      </c>
      <c r="K20" s="212">
        <f t="shared" si="14"/>
        <v>10227.27273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>
      <c r="A21" s="53" t="s">
        <v>70</v>
      </c>
      <c r="B21" s="53" t="s">
        <v>115</v>
      </c>
      <c r="C21" s="53" t="s">
        <v>115</v>
      </c>
      <c r="D21" s="53" t="s">
        <v>115</v>
      </c>
      <c r="E21" s="53" t="s">
        <v>115</v>
      </c>
      <c r="F21" s="53"/>
      <c r="G21" s="53" t="s">
        <v>115</v>
      </c>
      <c r="H21" s="216">
        <f t="shared" ref="H21:K21" si="15">H14+H17+H18</f>
        <v>48</v>
      </c>
      <c r="I21" s="216">
        <f t="shared" si="15"/>
        <v>14.20118343</v>
      </c>
      <c r="J21" s="216">
        <f t="shared" si="15"/>
        <v>14.79289941</v>
      </c>
      <c r="K21" s="216">
        <f t="shared" si="15"/>
        <v>14.79289941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49"/>
      <c r="B22" s="49"/>
      <c r="C22" s="49"/>
      <c r="D22" s="49"/>
      <c r="E22" s="49"/>
      <c r="F22" s="49"/>
      <c r="G22" s="49"/>
      <c r="H22" s="50"/>
      <c r="I22" s="50"/>
      <c r="J22" s="50"/>
      <c r="K22" s="5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49"/>
      <c r="B23" s="49"/>
      <c r="C23" s="49"/>
      <c r="D23" s="49"/>
      <c r="E23" s="49"/>
      <c r="F23" s="49"/>
      <c r="G23" s="49"/>
      <c r="H23" s="50"/>
      <c r="I23" s="50"/>
      <c r="J23" s="50"/>
      <c r="K23" s="51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>
      <c r="A24" s="61" t="s">
        <v>116</v>
      </c>
      <c r="B24" s="27"/>
      <c r="C24" s="27"/>
      <c r="D24" s="27"/>
      <c r="E24" s="27"/>
      <c r="F24" s="27"/>
      <c r="G24" s="27"/>
      <c r="H24" s="27"/>
      <c r="I24" s="27"/>
      <c r="J24" s="27"/>
      <c r="K24" s="28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t="31.5" customHeight="1">
      <c r="A25" s="64" t="s">
        <v>76</v>
      </c>
      <c r="B25" s="64" t="s">
        <v>77</v>
      </c>
      <c r="C25" s="64" t="s">
        <v>78</v>
      </c>
      <c r="D25" s="64" t="s">
        <v>29</v>
      </c>
      <c r="E25" s="65" t="s">
        <v>79</v>
      </c>
      <c r="F25" s="65" t="s">
        <v>179</v>
      </c>
      <c r="G25" s="64" t="s">
        <v>81</v>
      </c>
      <c r="H25" s="67" t="s">
        <v>82</v>
      </c>
      <c r="I25" s="67" t="s">
        <v>83</v>
      </c>
      <c r="J25" s="67" t="s">
        <v>84</v>
      </c>
      <c r="K25" s="211" t="s">
        <v>85</v>
      </c>
      <c r="L25" s="69"/>
      <c r="M25" s="69"/>
      <c r="N25" s="69"/>
      <c r="O25" s="69"/>
      <c r="P25" s="69"/>
      <c r="Q25" s="187" t="s">
        <v>139</v>
      </c>
      <c r="R25" s="187" t="s">
        <v>164</v>
      </c>
      <c r="S25" s="187" t="s">
        <v>165</v>
      </c>
      <c r="T25" s="69"/>
      <c r="U25" s="69"/>
      <c r="V25" s="69"/>
      <c r="W25" s="69"/>
      <c r="X25" s="69"/>
      <c r="Y25" s="69"/>
      <c r="Z25" s="69"/>
      <c r="AA25" s="69"/>
      <c r="AB25" s="69"/>
    </row>
    <row r="26" ht="15.75" customHeight="1">
      <c r="A26" s="87"/>
      <c r="B26" s="87" t="s">
        <v>99</v>
      </c>
      <c r="C26" s="132" t="s">
        <v>125</v>
      </c>
      <c r="D26" s="87" t="s">
        <v>29</v>
      </c>
      <c r="E26" s="87">
        <v>1.0</v>
      </c>
      <c r="F26" s="88">
        <v>1.0</v>
      </c>
      <c r="G26" s="88"/>
      <c r="H26" s="89">
        <v>45.0</v>
      </c>
      <c r="I26" s="89">
        <f t="shared" ref="I26:I29" si="16">H26/$M$10</f>
        <v>13.31360947</v>
      </c>
      <c r="J26" s="89">
        <f t="shared" ref="J26:J29" si="17">I26*E26</f>
        <v>13.31360947</v>
      </c>
      <c r="K26" s="212">
        <f>J26</f>
        <v>13.31360947</v>
      </c>
      <c r="L26" s="49"/>
      <c r="M26" s="49"/>
      <c r="N26" s="49"/>
      <c r="O26" s="49"/>
      <c r="P26" s="49"/>
      <c r="Q26" s="213">
        <v>3.0</v>
      </c>
      <c r="R26" s="80">
        <f>J26</f>
        <v>13.31360947</v>
      </c>
      <c r="S26" s="53"/>
      <c r="T26" s="49"/>
      <c r="U26" s="49"/>
      <c r="V26" s="49"/>
      <c r="W26" s="49"/>
      <c r="X26" s="49"/>
      <c r="Y26" s="49"/>
      <c r="Z26" s="49"/>
      <c r="AA26" s="49"/>
      <c r="AB26" s="49"/>
    </row>
    <row r="27" ht="15.75" customHeight="1">
      <c r="A27" s="134"/>
      <c r="B27" s="139" t="s">
        <v>99</v>
      </c>
      <c r="C27" s="217" t="s">
        <v>184</v>
      </c>
      <c r="D27" s="135" t="s">
        <v>130</v>
      </c>
      <c r="E27" s="136">
        <v>1.0</v>
      </c>
      <c r="F27" s="136">
        <v>3.6</v>
      </c>
      <c r="G27" s="136">
        <v>7.0</v>
      </c>
      <c r="H27" s="137">
        <v>10.0</v>
      </c>
      <c r="I27" s="137">
        <f t="shared" si="16"/>
        <v>2.958579882</v>
      </c>
      <c r="J27" s="137">
        <f t="shared" si="17"/>
        <v>2.958579882</v>
      </c>
      <c r="K27" s="218">
        <f t="shared" ref="K27:K29" si="18">F27*G27*I27</f>
        <v>74.55621302</v>
      </c>
      <c r="L27" s="49"/>
      <c r="M27" s="49"/>
      <c r="N27" s="49"/>
      <c r="O27" s="49"/>
      <c r="P27" s="49"/>
      <c r="Q27" s="219">
        <v>4.0</v>
      </c>
      <c r="R27" s="80">
        <f>SUM(J27:J32)</f>
        <v>22.19573964</v>
      </c>
      <c r="S27" s="53"/>
      <c r="T27" s="49"/>
      <c r="U27" s="49"/>
      <c r="V27" s="49"/>
      <c r="W27" s="49"/>
      <c r="X27" s="49"/>
      <c r="Y27" s="49"/>
      <c r="Z27" s="49"/>
      <c r="AA27" s="49"/>
      <c r="AB27" s="49"/>
    </row>
    <row r="28" ht="15.75" customHeight="1">
      <c r="A28" s="92"/>
      <c r="B28" s="92"/>
      <c r="C28" s="217" t="s">
        <v>185</v>
      </c>
      <c r="D28" s="135" t="s">
        <v>130</v>
      </c>
      <c r="E28" s="136">
        <v>1.0</v>
      </c>
      <c r="F28" s="136">
        <v>1.64</v>
      </c>
      <c r="G28" s="136">
        <v>7.0</v>
      </c>
      <c r="H28" s="137">
        <v>10.0</v>
      </c>
      <c r="I28" s="137">
        <f t="shared" si="16"/>
        <v>2.958579882</v>
      </c>
      <c r="J28" s="137">
        <f t="shared" si="17"/>
        <v>2.958579882</v>
      </c>
      <c r="K28" s="218">
        <f t="shared" si="18"/>
        <v>33.96449704</v>
      </c>
      <c r="L28" s="49"/>
      <c r="M28" s="49"/>
      <c r="N28" s="49"/>
      <c r="O28" s="49"/>
      <c r="P28" s="49"/>
      <c r="Q28" s="219">
        <v>5.0</v>
      </c>
      <c r="R28" s="80">
        <f>J33</f>
        <v>72.4852071</v>
      </c>
      <c r="S28" s="53"/>
      <c r="T28" s="49"/>
      <c r="U28" s="49"/>
      <c r="V28" s="49"/>
      <c r="W28" s="49"/>
      <c r="X28" s="49"/>
      <c r="Y28" s="49"/>
      <c r="Z28" s="49"/>
      <c r="AA28" s="49"/>
      <c r="AB28" s="49"/>
    </row>
    <row r="29" ht="15.75" customHeight="1">
      <c r="A29" s="92"/>
      <c r="B29" s="92"/>
      <c r="C29" s="217" t="s">
        <v>186</v>
      </c>
      <c r="D29" s="135" t="s">
        <v>130</v>
      </c>
      <c r="E29" s="136">
        <v>1.0</v>
      </c>
      <c r="F29" s="136">
        <v>3.18</v>
      </c>
      <c r="G29" s="136">
        <v>7.0</v>
      </c>
      <c r="H29" s="137">
        <v>10.0</v>
      </c>
      <c r="I29" s="137">
        <f t="shared" si="16"/>
        <v>2.958579882</v>
      </c>
      <c r="J29" s="137">
        <f t="shared" si="17"/>
        <v>2.958579882</v>
      </c>
      <c r="K29" s="218">
        <f t="shared" si="18"/>
        <v>65.85798817</v>
      </c>
      <c r="L29" s="49"/>
      <c r="M29" s="49"/>
      <c r="N29" s="49"/>
      <c r="O29" s="49"/>
      <c r="P29" s="49"/>
      <c r="Q29" s="214" t="s">
        <v>70</v>
      </c>
      <c r="R29" s="215">
        <f t="shared" ref="R29:S29" si="19">SUM(R27:R28)</f>
        <v>94.68094675</v>
      </c>
      <c r="S29" s="220">
        <f t="shared" si="19"/>
        <v>0</v>
      </c>
      <c r="T29" s="49"/>
      <c r="U29" s="49"/>
      <c r="V29" s="49"/>
      <c r="W29" s="49"/>
      <c r="X29" s="49"/>
      <c r="Y29" s="49"/>
      <c r="Z29" s="49"/>
      <c r="AA29" s="49"/>
      <c r="AB29" s="49"/>
    </row>
    <row r="30" ht="15.75" customHeight="1">
      <c r="A30" s="92"/>
      <c r="B30" s="92"/>
      <c r="C30" s="142" t="s">
        <v>133</v>
      </c>
      <c r="D30" s="136" t="s">
        <v>29</v>
      </c>
      <c r="E30" s="136">
        <v>1.0</v>
      </c>
      <c r="F30" s="136">
        <v>1.0</v>
      </c>
      <c r="G30" s="135"/>
      <c r="H30" s="138">
        <v>30.0</v>
      </c>
      <c r="I30" s="138">
        <v>8.88</v>
      </c>
      <c r="J30" s="137">
        <f>E30*I30*F30</f>
        <v>8.88</v>
      </c>
      <c r="K30" s="212">
        <f>I30*F30</f>
        <v>8.88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t="15.75" customHeight="1">
      <c r="A31" s="92"/>
      <c r="B31" s="92"/>
      <c r="C31" s="142" t="s">
        <v>134</v>
      </c>
      <c r="D31" s="136" t="s">
        <v>29</v>
      </c>
      <c r="E31" s="136">
        <v>1.0</v>
      </c>
      <c r="F31" s="136" t="s">
        <v>115</v>
      </c>
      <c r="G31" s="136" t="s">
        <v>115</v>
      </c>
      <c r="H31" s="138">
        <v>10.0</v>
      </c>
      <c r="I31" s="138">
        <v>2.96</v>
      </c>
      <c r="J31" s="137">
        <f t="shared" ref="J31:J32" si="20">E31*I31</f>
        <v>2.96</v>
      </c>
      <c r="K31" s="212">
        <f t="shared" ref="K31:K32" si="21">J31</f>
        <v>2.96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t="15.75" customHeight="1">
      <c r="A32" s="81"/>
      <c r="B32" s="81"/>
      <c r="C32" s="142" t="s">
        <v>135</v>
      </c>
      <c r="D32" s="136" t="s">
        <v>29</v>
      </c>
      <c r="E32" s="136">
        <v>1.0</v>
      </c>
      <c r="F32" s="136" t="s">
        <v>115</v>
      </c>
      <c r="G32" s="136" t="s">
        <v>115</v>
      </c>
      <c r="H32" s="138">
        <v>5.0</v>
      </c>
      <c r="I32" s="138">
        <v>1.48</v>
      </c>
      <c r="J32" s="137">
        <f t="shared" si="20"/>
        <v>1.48</v>
      </c>
      <c r="K32" s="212">
        <f t="shared" si="21"/>
        <v>1.48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ht="15.75" customHeight="1">
      <c r="A33" s="115"/>
      <c r="B33" s="146" t="s">
        <v>99</v>
      </c>
      <c r="C33" s="115" t="s">
        <v>136</v>
      </c>
      <c r="D33" s="115" t="s">
        <v>187</v>
      </c>
      <c r="E33" s="115">
        <v>7.0</v>
      </c>
      <c r="F33" s="115"/>
      <c r="G33" s="115"/>
      <c r="H33" s="117">
        <v>35.0</v>
      </c>
      <c r="I33" s="117">
        <f>H33/$M$10</f>
        <v>10.35502959</v>
      </c>
      <c r="J33" s="117">
        <f>I33*E33</f>
        <v>72.4852071</v>
      </c>
      <c r="K33" s="218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ht="15.75" customHeight="1">
      <c r="A34" s="53" t="s">
        <v>70</v>
      </c>
      <c r="B34" s="53"/>
      <c r="C34" s="53"/>
      <c r="D34" s="53"/>
      <c r="E34" s="53"/>
      <c r="F34" s="53"/>
      <c r="G34" s="53"/>
      <c r="H34" s="216">
        <f t="shared" ref="H34:K34" si="22">H26+H27+H28+H29+H30+H31+H32+H33</f>
        <v>155</v>
      </c>
      <c r="I34" s="216">
        <f t="shared" si="22"/>
        <v>45.8643787</v>
      </c>
      <c r="J34" s="216">
        <f t="shared" si="22"/>
        <v>107.9945562</v>
      </c>
      <c r="K34" s="216">
        <f t="shared" si="22"/>
        <v>201.0123077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t="15.75" customHeight="1">
      <c r="A35" s="49"/>
      <c r="B35" s="49"/>
      <c r="C35" s="49"/>
      <c r="D35" s="49"/>
      <c r="E35" s="49"/>
      <c r="F35" s="49"/>
      <c r="G35" s="49"/>
      <c r="H35" s="50"/>
      <c r="I35" s="50"/>
      <c r="J35" s="50"/>
      <c r="K35" s="5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ht="15.75" customHeight="1">
      <c r="A36" s="49"/>
      <c r="B36" s="49"/>
      <c r="C36" s="49"/>
      <c r="D36" s="49"/>
      <c r="E36" s="49"/>
      <c r="F36" s="49"/>
      <c r="G36" s="49"/>
      <c r="H36" s="50"/>
      <c r="I36" s="50"/>
      <c r="J36" s="50"/>
      <c r="K36" s="5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ht="15.75" customHeight="1">
      <c r="A37" s="61" t="s">
        <v>138</v>
      </c>
      <c r="B37" s="27"/>
      <c r="C37" s="27"/>
      <c r="D37" s="27"/>
      <c r="E37" s="27"/>
      <c r="F37" s="27"/>
      <c r="G37" s="27"/>
      <c r="H37" s="27"/>
      <c r="I37" s="27"/>
      <c r="J37" s="27"/>
      <c r="K37" s="2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ht="29.25" customHeight="1">
      <c r="A38" s="64" t="s">
        <v>139</v>
      </c>
      <c r="B38" s="64" t="s">
        <v>77</v>
      </c>
      <c r="C38" s="64" t="s">
        <v>78</v>
      </c>
      <c r="D38" s="64" t="s">
        <v>29</v>
      </c>
      <c r="E38" s="65" t="s">
        <v>79</v>
      </c>
      <c r="F38" s="65" t="s">
        <v>179</v>
      </c>
      <c r="G38" s="64" t="s">
        <v>81</v>
      </c>
      <c r="H38" s="67" t="s">
        <v>82</v>
      </c>
      <c r="I38" s="67" t="s">
        <v>83</v>
      </c>
      <c r="J38" s="67" t="s">
        <v>84</v>
      </c>
      <c r="K38" s="211" t="s">
        <v>85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ht="15.75" customHeight="1">
      <c r="A39" s="87"/>
      <c r="B39" s="87" t="s">
        <v>143</v>
      </c>
      <c r="C39" s="87" t="s">
        <v>144</v>
      </c>
      <c r="D39" s="87" t="s">
        <v>145</v>
      </c>
      <c r="E39" s="87">
        <v>1.0</v>
      </c>
      <c r="F39" s="88">
        <v>1.0</v>
      </c>
      <c r="G39" s="87">
        <v>1.0</v>
      </c>
      <c r="H39" s="89">
        <v>1.0</v>
      </c>
      <c r="I39" s="89">
        <f t="shared" ref="I39:I44" si="23">H39/$M$10</f>
        <v>0.2958579882</v>
      </c>
      <c r="J39" s="89">
        <f t="shared" ref="J39:J44" si="24">I39*E39*G39</f>
        <v>0.2958579882</v>
      </c>
      <c r="K39" s="212">
        <f>F39*I39*G39</f>
        <v>0.2958579882</v>
      </c>
      <c r="L39" s="49"/>
      <c r="M39" s="50">
        <f>K21+K34+K45</f>
        <v>2911.071479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ht="15.75" customHeight="1">
      <c r="A40" s="221">
        <v>5.0</v>
      </c>
      <c r="B40" s="222" t="s">
        <v>143</v>
      </c>
      <c r="C40" s="223" t="s">
        <v>147</v>
      </c>
      <c r="D40" s="224" t="s">
        <v>29</v>
      </c>
      <c r="E40" s="223">
        <v>50.0</v>
      </c>
      <c r="F40" s="225">
        <v>10000.0</v>
      </c>
      <c r="G40" s="223">
        <v>1.0</v>
      </c>
      <c r="H40" s="226">
        <v>0.42</v>
      </c>
      <c r="I40" s="227">
        <f t="shared" si="23"/>
        <v>0.124260355</v>
      </c>
      <c r="J40" s="227">
        <f t="shared" si="24"/>
        <v>6.213017751</v>
      </c>
      <c r="K40" s="212">
        <f t="shared" ref="K40:K44" si="25">F40*G40*I40</f>
        <v>1242.60355</v>
      </c>
      <c r="L40" s="49"/>
      <c r="M40" s="191"/>
      <c r="N40" s="191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ht="15.75" customHeight="1">
      <c r="A41" s="92"/>
      <c r="B41" s="92"/>
      <c r="C41" s="223" t="s">
        <v>148</v>
      </c>
      <c r="D41" s="223" t="s">
        <v>149</v>
      </c>
      <c r="E41" s="223">
        <v>2.0</v>
      </c>
      <c r="F41" s="225">
        <v>227.0</v>
      </c>
      <c r="G41" s="223">
        <v>1.0</v>
      </c>
      <c r="H41" s="227">
        <v>3.0</v>
      </c>
      <c r="I41" s="227">
        <f t="shared" si="23"/>
        <v>0.8875739645</v>
      </c>
      <c r="J41" s="227">
        <f t="shared" si="24"/>
        <v>1.775147929</v>
      </c>
      <c r="K41" s="212">
        <f t="shared" si="25"/>
        <v>201.4792899</v>
      </c>
      <c r="L41" s="49"/>
      <c r="M41" s="191"/>
      <c r="N41" s="191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ht="15.75" customHeight="1">
      <c r="A42" s="92"/>
      <c r="B42" s="92"/>
      <c r="C42" s="223" t="s">
        <v>150</v>
      </c>
      <c r="D42" s="223" t="s">
        <v>29</v>
      </c>
      <c r="E42" s="225">
        <v>88.0</v>
      </c>
      <c r="F42" s="225">
        <v>10000.0</v>
      </c>
      <c r="G42" s="223">
        <v>1.0</v>
      </c>
      <c r="H42" s="227">
        <v>0.2</v>
      </c>
      <c r="I42" s="227">
        <f t="shared" si="23"/>
        <v>0.05917159763</v>
      </c>
      <c r="J42" s="227">
        <f t="shared" si="24"/>
        <v>5.207100592</v>
      </c>
      <c r="K42" s="212">
        <f t="shared" si="25"/>
        <v>591.7159763</v>
      </c>
      <c r="L42" s="49"/>
      <c r="M42" s="191"/>
      <c r="N42" s="191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ht="15.75" customHeight="1">
      <c r="A43" s="92"/>
      <c r="B43" s="92"/>
      <c r="C43" s="228" t="s">
        <v>151</v>
      </c>
      <c r="D43" s="228" t="s">
        <v>29</v>
      </c>
      <c r="E43" s="229">
        <v>1.0</v>
      </c>
      <c r="F43" s="229">
        <v>113.0</v>
      </c>
      <c r="G43" s="228">
        <v>1.0</v>
      </c>
      <c r="H43" s="230">
        <v>2.0</v>
      </c>
      <c r="I43" s="230">
        <f t="shared" si="23"/>
        <v>0.5917159763</v>
      </c>
      <c r="J43" s="230">
        <f t="shared" si="24"/>
        <v>0.5917159763</v>
      </c>
      <c r="K43" s="212">
        <f t="shared" si="25"/>
        <v>66.86390533</v>
      </c>
      <c r="L43" s="49"/>
      <c r="M43" s="191"/>
      <c r="N43" s="191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ht="15.75" customHeight="1">
      <c r="A44" s="81"/>
      <c r="B44" s="81"/>
      <c r="C44" s="228" t="s">
        <v>152</v>
      </c>
      <c r="D44" s="228" t="s">
        <v>29</v>
      </c>
      <c r="E44" s="228">
        <v>8.0</v>
      </c>
      <c r="F44" s="229">
        <v>1001.0</v>
      </c>
      <c r="G44" s="228">
        <v>1.0</v>
      </c>
      <c r="H44" s="230">
        <v>2.0</v>
      </c>
      <c r="I44" s="230">
        <f t="shared" si="23"/>
        <v>0.5917159763</v>
      </c>
      <c r="J44" s="230">
        <f t="shared" si="24"/>
        <v>4.733727811</v>
      </c>
      <c r="K44" s="212">
        <f t="shared" si="25"/>
        <v>592.3076923</v>
      </c>
      <c r="L44" s="49"/>
      <c r="M44" s="191">
        <v>1.0</v>
      </c>
      <c r="N44" s="191">
        <v>25.35</v>
      </c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ht="15.75" customHeight="1">
      <c r="A45" s="231" t="s">
        <v>70</v>
      </c>
      <c r="B45" s="231"/>
      <c r="C45" s="53"/>
      <c r="D45" s="53"/>
      <c r="E45" s="53"/>
      <c r="F45" s="53"/>
      <c r="G45" s="216"/>
      <c r="H45" s="216">
        <f>H39+H44</f>
        <v>3</v>
      </c>
      <c r="I45" s="216">
        <f t="shared" ref="I45:K45" si="26">I39+I40+I41+I42+I43+I44</f>
        <v>2.550295858</v>
      </c>
      <c r="J45" s="216">
        <f t="shared" si="26"/>
        <v>18.81656805</v>
      </c>
      <c r="K45" s="216">
        <f t="shared" si="26"/>
        <v>2695.266272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ht="15.75" customHeight="1">
      <c r="A46" s="49"/>
      <c r="B46" s="49"/>
      <c r="C46" s="49"/>
      <c r="D46" s="49"/>
      <c r="E46" s="49"/>
      <c r="F46" s="49"/>
      <c r="G46" s="49"/>
      <c r="H46" s="50"/>
      <c r="I46" s="50"/>
      <c r="J46" s="50"/>
      <c r="K46" s="51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ht="15.75" customHeight="1">
      <c r="A47" s="49"/>
      <c r="B47" s="49"/>
      <c r="C47" s="49"/>
      <c r="D47" s="49"/>
      <c r="E47" s="49"/>
      <c r="F47" s="49"/>
      <c r="G47" s="49"/>
      <c r="H47" s="50"/>
      <c r="I47" s="50"/>
      <c r="J47" s="50"/>
      <c r="K47" s="51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ht="21.75" customHeight="1">
      <c r="A48" s="49"/>
      <c r="B48" s="49"/>
      <c r="C48" s="232" t="s">
        <v>188</v>
      </c>
      <c r="D48" s="233">
        <f>K21+K34+K45</f>
        <v>2911.071479</v>
      </c>
      <c r="E48" s="49"/>
      <c r="F48" s="49"/>
      <c r="G48" s="49"/>
      <c r="H48" s="50"/>
      <c r="I48" s="50"/>
      <c r="J48" s="50"/>
      <c r="K48" s="51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ht="15.75" customHeight="1">
      <c r="A49" s="49"/>
      <c r="B49" s="49"/>
      <c r="C49" s="49"/>
      <c r="D49" s="49"/>
      <c r="E49" s="49"/>
      <c r="F49" s="49"/>
      <c r="G49" s="49"/>
      <c r="H49" s="50"/>
      <c r="I49" s="50"/>
      <c r="J49" s="50"/>
      <c r="K49" s="51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ht="15.75" customHeight="1">
      <c r="A50" s="49"/>
      <c r="B50" s="49"/>
      <c r="C50" s="49"/>
      <c r="D50" s="49"/>
      <c r="E50" s="49"/>
      <c r="F50" s="49"/>
      <c r="G50" s="49"/>
      <c r="H50" s="50"/>
      <c r="I50" s="50"/>
      <c r="J50" s="50"/>
      <c r="K50" s="51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ht="22.5" customHeight="1">
      <c r="A51" s="49"/>
      <c r="B51" s="49"/>
      <c r="C51" s="232" t="s">
        <v>189</v>
      </c>
      <c r="D51" s="233">
        <f>J45+J34+J21</f>
        <v>141.6040237</v>
      </c>
      <c r="E51" s="49"/>
      <c r="F51" s="49"/>
      <c r="G51" s="49"/>
      <c r="H51" s="50"/>
      <c r="I51" s="50"/>
      <c r="J51" s="50"/>
      <c r="K51" s="51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ht="15.75" customHeight="1">
      <c r="A52" s="49"/>
      <c r="B52" s="49"/>
      <c r="C52" s="49"/>
      <c r="D52" s="49"/>
      <c r="E52" s="49"/>
      <c r="F52" s="49"/>
      <c r="G52" s="49"/>
      <c r="H52" s="50"/>
      <c r="I52" s="50"/>
      <c r="J52" s="50"/>
      <c r="K52" s="51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ht="15.75" customHeight="1">
      <c r="A53" s="49"/>
      <c r="B53" s="49"/>
      <c r="C53" s="49"/>
      <c r="D53" s="49"/>
      <c r="E53" s="49"/>
      <c r="F53" s="49"/>
      <c r="G53" s="49"/>
      <c r="H53" s="50"/>
      <c r="I53" s="50"/>
      <c r="J53" s="50"/>
      <c r="K53" s="51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ht="15.75" customHeight="1">
      <c r="A54" s="49"/>
      <c r="B54" s="49"/>
      <c r="C54" s="49"/>
      <c r="D54" s="49"/>
      <c r="E54" s="49"/>
      <c r="F54" s="49"/>
      <c r="G54" s="49"/>
      <c r="H54" s="50"/>
      <c r="I54" s="50"/>
      <c r="J54" s="50"/>
      <c r="K54" s="51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ht="15.75" customHeight="1">
      <c r="A55" s="49"/>
      <c r="B55" s="49"/>
      <c r="C55" s="49"/>
      <c r="D55" s="49"/>
      <c r="E55" s="49"/>
      <c r="F55" s="49"/>
      <c r="G55" s="49"/>
      <c r="H55" s="50"/>
      <c r="I55" s="50"/>
      <c r="J55" s="50"/>
      <c r="K55" s="51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ht="15.75" customHeight="1">
      <c r="A56" s="49"/>
      <c r="B56" s="49"/>
      <c r="C56" s="49"/>
      <c r="D56" s="49"/>
      <c r="E56" s="49"/>
      <c r="F56" s="49"/>
      <c r="G56" s="49"/>
      <c r="H56" s="50"/>
      <c r="I56" s="50"/>
      <c r="J56" s="50"/>
      <c r="K56" s="51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ht="15.75" customHeight="1">
      <c r="A57" s="49"/>
      <c r="B57" s="49"/>
      <c r="C57" s="49"/>
      <c r="D57" s="49"/>
      <c r="E57" s="49"/>
      <c r="F57" s="49"/>
      <c r="G57" s="49"/>
      <c r="H57" s="50"/>
      <c r="I57" s="50"/>
      <c r="J57" s="50"/>
      <c r="K57" s="51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ht="15.75" customHeight="1">
      <c r="A58" s="49"/>
      <c r="B58" s="49"/>
      <c r="C58" s="49"/>
      <c r="D58" s="49"/>
      <c r="E58" s="49"/>
      <c r="F58" s="49"/>
      <c r="G58" s="49"/>
      <c r="H58" s="50"/>
      <c r="I58" s="50"/>
      <c r="J58" s="50"/>
      <c r="K58" s="51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ht="15.75" customHeight="1">
      <c r="A59" s="49"/>
      <c r="B59" s="49"/>
      <c r="C59" s="49"/>
      <c r="D59" s="49"/>
      <c r="E59" s="49"/>
      <c r="F59" s="49"/>
      <c r="G59" s="49"/>
      <c r="H59" s="50"/>
      <c r="I59" s="50"/>
      <c r="J59" s="50"/>
      <c r="K59" s="51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ht="15.75" customHeight="1">
      <c r="A60" s="49"/>
      <c r="B60" s="49"/>
      <c r="C60" s="49"/>
      <c r="D60" s="49"/>
      <c r="E60" s="49"/>
      <c r="F60" s="49"/>
      <c r="G60" s="49"/>
      <c r="H60" s="50"/>
      <c r="I60" s="50"/>
      <c r="J60" s="50"/>
      <c r="K60" s="51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ht="15.75" customHeight="1">
      <c r="A61" s="49"/>
      <c r="B61" s="49"/>
      <c r="C61" s="49"/>
      <c r="D61" s="49"/>
      <c r="E61" s="49"/>
      <c r="F61" s="49"/>
      <c r="G61" s="49"/>
      <c r="H61" s="50"/>
      <c r="I61" s="50"/>
      <c r="J61" s="50"/>
      <c r="K61" s="51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ht="15.75" customHeight="1">
      <c r="A62" s="49"/>
      <c r="B62" s="49"/>
      <c r="C62" s="49"/>
      <c r="D62" s="49"/>
      <c r="E62" s="49"/>
      <c r="F62" s="49"/>
      <c r="G62" s="49"/>
      <c r="H62" s="50"/>
      <c r="I62" s="50"/>
      <c r="J62" s="50"/>
      <c r="K62" s="51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ht="15.75" customHeight="1">
      <c r="A63" s="49"/>
      <c r="B63" s="49"/>
      <c r="C63" s="49"/>
      <c r="D63" s="49"/>
      <c r="E63" s="49"/>
      <c r="F63" s="49"/>
      <c r="G63" s="49"/>
      <c r="H63" s="50"/>
      <c r="I63" s="50"/>
      <c r="J63" s="50"/>
      <c r="K63" s="51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ht="15.75" customHeight="1">
      <c r="A64" s="49"/>
      <c r="B64" s="49"/>
      <c r="C64" s="49"/>
      <c r="D64" s="49"/>
      <c r="E64" s="49"/>
      <c r="F64" s="49"/>
      <c r="G64" s="49"/>
      <c r="H64" s="50"/>
      <c r="I64" s="50"/>
      <c r="J64" s="50"/>
      <c r="K64" s="51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ht="15.75" customHeight="1">
      <c r="A65" s="49"/>
      <c r="B65" s="49"/>
      <c r="C65" s="49"/>
      <c r="D65" s="49"/>
      <c r="E65" s="49"/>
      <c r="F65" s="49"/>
      <c r="G65" s="49"/>
      <c r="H65" s="50"/>
      <c r="I65" s="50"/>
      <c r="J65" s="50"/>
      <c r="K65" s="51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ht="15.75" customHeight="1">
      <c r="A66" s="49"/>
      <c r="B66" s="49"/>
      <c r="C66" s="49"/>
      <c r="D66" s="49"/>
      <c r="E66" s="49"/>
      <c r="F66" s="49"/>
      <c r="G66" s="49"/>
      <c r="H66" s="50"/>
      <c r="I66" s="50"/>
      <c r="J66" s="50"/>
      <c r="K66" s="51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ht="15.75" customHeight="1">
      <c r="A67" s="49"/>
      <c r="B67" s="49"/>
      <c r="C67" s="49"/>
      <c r="D67" s="49"/>
      <c r="E67" s="49"/>
      <c r="F67" s="49"/>
      <c r="G67" s="49"/>
      <c r="H67" s="50"/>
      <c r="I67" s="50"/>
      <c r="J67" s="50"/>
      <c r="K67" s="51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ht="15.75" customHeight="1">
      <c r="A68" s="49"/>
      <c r="B68" s="49"/>
      <c r="C68" s="49"/>
      <c r="D68" s="49"/>
      <c r="E68" s="49"/>
      <c r="F68" s="49"/>
      <c r="G68" s="49"/>
      <c r="H68" s="50"/>
      <c r="I68" s="50"/>
      <c r="J68" s="50"/>
      <c r="K68" s="51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ht="15.75" customHeight="1">
      <c r="A69" s="49"/>
      <c r="B69" s="49"/>
      <c r="C69" s="49"/>
      <c r="D69" s="49"/>
      <c r="E69" s="49"/>
      <c r="F69" s="49"/>
      <c r="G69" s="49"/>
      <c r="H69" s="50"/>
      <c r="I69" s="50"/>
      <c r="J69" s="50"/>
      <c r="K69" s="5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ht="15.75" customHeight="1">
      <c r="A70" s="49"/>
      <c r="B70" s="49"/>
      <c r="C70" s="49"/>
      <c r="D70" s="49"/>
      <c r="E70" s="49"/>
      <c r="F70" s="49"/>
      <c r="G70" s="49"/>
      <c r="H70" s="50"/>
      <c r="I70" s="50"/>
      <c r="J70" s="50"/>
      <c r="K70" s="51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ht="15.75" customHeight="1">
      <c r="A71" s="49"/>
      <c r="B71" s="49"/>
      <c r="C71" s="49"/>
      <c r="D71" s="49"/>
      <c r="E71" s="49"/>
      <c r="F71" s="49"/>
      <c r="G71" s="49"/>
      <c r="H71" s="50"/>
      <c r="I71" s="50"/>
      <c r="J71" s="50"/>
      <c r="K71" s="51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ht="15.75" customHeight="1">
      <c r="A72" s="49"/>
      <c r="B72" s="49"/>
      <c r="C72" s="49"/>
      <c r="D72" s="49"/>
      <c r="E72" s="49"/>
      <c r="F72" s="49"/>
      <c r="G72" s="49"/>
      <c r="H72" s="50"/>
      <c r="I72" s="50"/>
      <c r="J72" s="50"/>
      <c r="K72" s="5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ht="15.75" customHeight="1">
      <c r="A73" s="49"/>
      <c r="B73" s="49"/>
      <c r="C73" s="49"/>
      <c r="D73" s="49"/>
      <c r="E73" s="49"/>
      <c r="F73" s="49"/>
      <c r="G73" s="49"/>
      <c r="H73" s="50"/>
      <c r="I73" s="50"/>
      <c r="J73" s="50"/>
      <c r="K73" s="51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ht="15.75" customHeight="1">
      <c r="A74" s="49"/>
      <c r="B74" s="49"/>
      <c r="C74" s="49"/>
      <c r="D74" s="49"/>
      <c r="E74" s="49"/>
      <c r="F74" s="49"/>
      <c r="G74" s="49"/>
      <c r="H74" s="50"/>
      <c r="I74" s="50"/>
      <c r="J74" s="50"/>
      <c r="K74" s="51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ht="15.75" customHeight="1">
      <c r="A75" s="49"/>
      <c r="B75" s="49"/>
      <c r="C75" s="49"/>
      <c r="D75" s="49"/>
      <c r="E75" s="49"/>
      <c r="F75" s="49"/>
      <c r="G75" s="49"/>
      <c r="H75" s="50"/>
      <c r="I75" s="50"/>
      <c r="J75" s="50"/>
      <c r="K75" s="51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ht="15.75" customHeight="1">
      <c r="A76" s="49"/>
      <c r="B76" s="49"/>
      <c r="C76" s="49"/>
      <c r="D76" s="49"/>
      <c r="E76" s="49"/>
      <c r="F76" s="49"/>
      <c r="G76" s="49"/>
      <c r="H76" s="50"/>
      <c r="I76" s="50"/>
      <c r="J76" s="50"/>
      <c r="K76" s="51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ht="15.75" customHeight="1">
      <c r="A77" s="49"/>
      <c r="B77" s="49"/>
      <c r="C77" s="49"/>
      <c r="D77" s="49"/>
      <c r="E77" s="49"/>
      <c r="F77" s="49"/>
      <c r="G77" s="49"/>
      <c r="H77" s="50"/>
      <c r="I77" s="50"/>
      <c r="J77" s="50"/>
      <c r="K77" s="51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ht="15.75" customHeight="1">
      <c r="A78" s="49"/>
      <c r="B78" s="49"/>
      <c r="C78" s="49"/>
      <c r="D78" s="49"/>
      <c r="E78" s="49"/>
      <c r="F78" s="49"/>
      <c r="G78" s="49"/>
      <c r="H78" s="50"/>
      <c r="I78" s="50"/>
      <c r="J78" s="50"/>
      <c r="K78" s="51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ht="15.75" customHeight="1">
      <c r="A79" s="49"/>
      <c r="B79" s="49"/>
      <c r="C79" s="49"/>
      <c r="D79" s="49"/>
      <c r="E79" s="49"/>
      <c r="F79" s="49"/>
      <c r="G79" s="49"/>
      <c r="H79" s="50"/>
      <c r="I79" s="50"/>
      <c r="J79" s="50"/>
      <c r="K79" s="51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ht="15.75" customHeight="1">
      <c r="A80" s="49"/>
      <c r="B80" s="49"/>
      <c r="C80" s="49"/>
      <c r="D80" s="49"/>
      <c r="E80" s="49"/>
      <c r="F80" s="49"/>
      <c r="G80" s="49"/>
      <c r="H80" s="50"/>
      <c r="I80" s="50"/>
      <c r="J80" s="50"/>
      <c r="K80" s="5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ht="15.75" customHeight="1">
      <c r="A81" s="49"/>
      <c r="B81" s="49"/>
      <c r="C81" s="49"/>
      <c r="D81" s="49"/>
      <c r="E81" s="49"/>
      <c r="F81" s="49"/>
      <c r="G81" s="49"/>
      <c r="H81" s="50"/>
      <c r="I81" s="50"/>
      <c r="J81" s="50"/>
      <c r="K81" s="51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ht="15.75" customHeight="1">
      <c r="A82" s="49"/>
      <c r="B82" s="49"/>
      <c r="C82" s="49"/>
      <c r="D82" s="49"/>
      <c r="E82" s="49"/>
      <c r="F82" s="49"/>
      <c r="G82" s="49"/>
      <c r="H82" s="50"/>
      <c r="I82" s="50"/>
      <c r="J82" s="50"/>
      <c r="K82" s="51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ht="15.75" customHeight="1">
      <c r="A83" s="49"/>
      <c r="B83" s="49"/>
      <c r="C83" s="49"/>
      <c r="D83" s="49"/>
      <c r="E83" s="49"/>
      <c r="F83" s="49"/>
      <c r="G83" s="49"/>
      <c r="H83" s="50"/>
      <c r="I83" s="50"/>
      <c r="J83" s="50"/>
      <c r="K83" s="5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ht="15.75" customHeight="1">
      <c r="A84" s="49"/>
      <c r="B84" s="49"/>
      <c r="C84" s="49"/>
      <c r="D84" s="49"/>
      <c r="E84" s="49"/>
      <c r="F84" s="49"/>
      <c r="G84" s="49"/>
      <c r="H84" s="50"/>
      <c r="I84" s="50"/>
      <c r="J84" s="50"/>
      <c r="K84" s="51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ht="15.75" customHeight="1">
      <c r="A85" s="49"/>
      <c r="B85" s="49"/>
      <c r="C85" s="49"/>
      <c r="D85" s="49"/>
      <c r="E85" s="49"/>
      <c r="F85" s="49"/>
      <c r="G85" s="49"/>
      <c r="H85" s="50"/>
      <c r="I85" s="50"/>
      <c r="J85" s="50"/>
      <c r="K85" s="51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ht="15.75" customHeight="1">
      <c r="A86" s="49"/>
      <c r="B86" s="49"/>
      <c r="C86" s="49"/>
      <c r="D86" s="49"/>
      <c r="E86" s="49"/>
      <c r="F86" s="49"/>
      <c r="G86" s="49"/>
      <c r="H86" s="50"/>
      <c r="I86" s="50"/>
      <c r="J86" s="50"/>
      <c r="K86" s="51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ht="15.75" customHeight="1">
      <c r="A87" s="49"/>
      <c r="B87" s="49"/>
      <c r="C87" s="49"/>
      <c r="D87" s="49"/>
      <c r="E87" s="49"/>
      <c r="F87" s="49"/>
      <c r="G87" s="49"/>
      <c r="H87" s="50"/>
      <c r="I87" s="50"/>
      <c r="J87" s="50"/>
      <c r="K87" s="51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ht="15.75" customHeight="1">
      <c r="A88" s="49"/>
      <c r="B88" s="49"/>
      <c r="C88" s="49"/>
      <c r="D88" s="49"/>
      <c r="E88" s="49"/>
      <c r="F88" s="49"/>
      <c r="G88" s="49"/>
      <c r="H88" s="50"/>
      <c r="I88" s="50"/>
      <c r="J88" s="50"/>
      <c r="K88" s="51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ht="15.75" customHeight="1">
      <c r="A89" s="49"/>
      <c r="B89" s="49"/>
      <c r="C89" s="49"/>
      <c r="D89" s="49"/>
      <c r="E89" s="49"/>
      <c r="F89" s="49"/>
      <c r="G89" s="49"/>
      <c r="H89" s="50"/>
      <c r="I89" s="50"/>
      <c r="J89" s="50"/>
      <c r="K89" s="51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ht="15.75" customHeight="1">
      <c r="A90" s="49"/>
      <c r="B90" s="49"/>
      <c r="C90" s="49"/>
      <c r="D90" s="49"/>
      <c r="E90" s="49"/>
      <c r="F90" s="49"/>
      <c r="G90" s="49"/>
      <c r="H90" s="50"/>
      <c r="I90" s="50"/>
      <c r="J90" s="50"/>
      <c r="K90" s="51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ht="15.75" customHeight="1">
      <c r="A91" s="49"/>
      <c r="B91" s="49"/>
      <c r="C91" s="49"/>
      <c r="D91" s="49"/>
      <c r="E91" s="49"/>
      <c r="F91" s="49"/>
      <c r="G91" s="49"/>
      <c r="H91" s="50"/>
      <c r="I91" s="50"/>
      <c r="J91" s="50"/>
      <c r="K91" s="51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ht="15.75" customHeight="1">
      <c r="A92" s="49"/>
      <c r="B92" s="49"/>
      <c r="C92" s="49"/>
      <c r="D92" s="49"/>
      <c r="E92" s="49"/>
      <c r="F92" s="49"/>
      <c r="G92" s="49"/>
      <c r="H92" s="50"/>
      <c r="I92" s="50"/>
      <c r="J92" s="50"/>
      <c r="K92" s="51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ht="15.75" customHeight="1">
      <c r="A93" s="49"/>
      <c r="B93" s="49"/>
      <c r="C93" s="49"/>
      <c r="D93" s="49"/>
      <c r="E93" s="49"/>
      <c r="F93" s="49"/>
      <c r="G93" s="49"/>
      <c r="H93" s="50"/>
      <c r="I93" s="50"/>
      <c r="J93" s="50"/>
      <c r="K93" s="51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ht="15.75" customHeight="1">
      <c r="A94" s="49"/>
      <c r="B94" s="49"/>
      <c r="C94" s="49"/>
      <c r="D94" s="49"/>
      <c r="E94" s="49"/>
      <c r="F94" s="49"/>
      <c r="G94" s="49"/>
      <c r="H94" s="50"/>
      <c r="I94" s="50"/>
      <c r="J94" s="50"/>
      <c r="K94" s="5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ht="15.75" customHeight="1">
      <c r="A95" s="49"/>
      <c r="B95" s="49"/>
      <c r="C95" s="49"/>
      <c r="D95" s="49"/>
      <c r="E95" s="49"/>
      <c r="F95" s="49"/>
      <c r="G95" s="49"/>
      <c r="H95" s="50"/>
      <c r="I95" s="50"/>
      <c r="J95" s="50"/>
      <c r="K95" s="51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ht="15.75" customHeight="1">
      <c r="A96" s="49"/>
      <c r="B96" s="49"/>
      <c r="C96" s="49"/>
      <c r="D96" s="49"/>
      <c r="E96" s="49"/>
      <c r="F96" s="49"/>
      <c r="G96" s="49"/>
      <c r="H96" s="50"/>
      <c r="I96" s="50"/>
      <c r="J96" s="50"/>
      <c r="K96" s="51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ht="15.75" customHeight="1">
      <c r="A97" s="49"/>
      <c r="B97" s="49"/>
      <c r="C97" s="49"/>
      <c r="D97" s="49"/>
      <c r="E97" s="49"/>
      <c r="F97" s="49"/>
      <c r="G97" s="49"/>
      <c r="H97" s="50"/>
      <c r="I97" s="50"/>
      <c r="J97" s="50"/>
      <c r="K97" s="51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ht="15.75" customHeight="1">
      <c r="A98" s="49"/>
      <c r="B98" s="49"/>
      <c r="C98" s="49"/>
      <c r="D98" s="49"/>
      <c r="E98" s="49"/>
      <c r="F98" s="49"/>
      <c r="G98" s="49"/>
      <c r="H98" s="50"/>
      <c r="I98" s="50"/>
      <c r="J98" s="50"/>
      <c r="K98" s="51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ht="15.75" customHeight="1">
      <c r="A99" s="49"/>
      <c r="B99" s="49"/>
      <c r="C99" s="49"/>
      <c r="D99" s="49"/>
      <c r="E99" s="49"/>
      <c r="F99" s="49"/>
      <c r="G99" s="49"/>
      <c r="H99" s="50"/>
      <c r="I99" s="50"/>
      <c r="J99" s="50"/>
      <c r="K99" s="51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50"/>
      <c r="I100" s="50"/>
      <c r="J100" s="50"/>
      <c r="K100" s="51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50"/>
      <c r="I101" s="50"/>
      <c r="J101" s="50"/>
      <c r="K101" s="51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50"/>
      <c r="I102" s="50"/>
      <c r="J102" s="50"/>
      <c r="K102" s="51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50"/>
      <c r="I103" s="50"/>
      <c r="J103" s="50"/>
      <c r="K103" s="51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50"/>
      <c r="I104" s="50"/>
      <c r="J104" s="50"/>
      <c r="K104" s="51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50"/>
      <c r="I105" s="50"/>
      <c r="J105" s="50"/>
      <c r="K105" s="51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50"/>
      <c r="I106" s="50"/>
      <c r="J106" s="50"/>
      <c r="K106" s="51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50"/>
      <c r="I107" s="50"/>
      <c r="J107" s="50"/>
      <c r="K107" s="51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50"/>
      <c r="I108" s="50"/>
      <c r="J108" s="50"/>
      <c r="K108" s="51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50"/>
      <c r="I109" s="50"/>
      <c r="J109" s="50"/>
      <c r="K109" s="51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50"/>
      <c r="I110" s="50"/>
      <c r="J110" s="50"/>
      <c r="K110" s="51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50"/>
      <c r="I111" s="50"/>
      <c r="J111" s="50"/>
      <c r="K111" s="51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50"/>
      <c r="I112" s="50"/>
      <c r="J112" s="50"/>
      <c r="K112" s="51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50"/>
      <c r="I113" s="50"/>
      <c r="J113" s="50"/>
      <c r="K113" s="51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50"/>
      <c r="I114" s="50"/>
      <c r="J114" s="50"/>
      <c r="K114" s="51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50"/>
      <c r="I115" s="50"/>
      <c r="J115" s="50"/>
      <c r="K115" s="51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50"/>
      <c r="I116" s="50"/>
      <c r="J116" s="50"/>
      <c r="K116" s="51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50"/>
      <c r="I117" s="50"/>
      <c r="J117" s="50"/>
      <c r="K117" s="51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50"/>
      <c r="I118" s="50"/>
      <c r="J118" s="50"/>
      <c r="K118" s="51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50"/>
      <c r="I119" s="50"/>
      <c r="J119" s="50"/>
      <c r="K119" s="51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50"/>
      <c r="I120" s="50"/>
      <c r="J120" s="50"/>
      <c r="K120" s="51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50"/>
      <c r="I121" s="50"/>
      <c r="J121" s="50"/>
      <c r="K121" s="51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50"/>
      <c r="I122" s="50"/>
      <c r="J122" s="50"/>
      <c r="K122" s="51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50"/>
      <c r="I123" s="50"/>
      <c r="J123" s="50"/>
      <c r="K123" s="51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50"/>
      <c r="I124" s="50"/>
      <c r="J124" s="50"/>
      <c r="K124" s="51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50"/>
      <c r="I125" s="50"/>
      <c r="J125" s="50"/>
      <c r="K125" s="51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50"/>
      <c r="I126" s="50"/>
      <c r="J126" s="50"/>
      <c r="K126" s="51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50"/>
      <c r="I127" s="50"/>
      <c r="J127" s="50"/>
      <c r="K127" s="51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50"/>
      <c r="I128" s="50"/>
      <c r="J128" s="50"/>
      <c r="K128" s="51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50"/>
      <c r="I129" s="50"/>
      <c r="J129" s="50"/>
      <c r="K129" s="51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50"/>
      <c r="I130" s="50"/>
      <c r="J130" s="50"/>
      <c r="K130" s="51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50"/>
      <c r="I131" s="50"/>
      <c r="J131" s="50"/>
      <c r="K131" s="51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50"/>
      <c r="I132" s="50"/>
      <c r="J132" s="50"/>
      <c r="K132" s="51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50"/>
      <c r="I133" s="50"/>
      <c r="J133" s="50"/>
      <c r="K133" s="51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50"/>
      <c r="I134" s="50"/>
      <c r="J134" s="50"/>
      <c r="K134" s="51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50"/>
      <c r="I135" s="50"/>
      <c r="J135" s="50"/>
      <c r="K135" s="51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50"/>
      <c r="I136" s="50"/>
      <c r="J136" s="50"/>
      <c r="K136" s="51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50"/>
      <c r="I137" s="50"/>
      <c r="J137" s="50"/>
      <c r="K137" s="51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50"/>
      <c r="I138" s="50"/>
      <c r="J138" s="50"/>
      <c r="K138" s="51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50"/>
      <c r="I139" s="50"/>
      <c r="J139" s="50"/>
      <c r="K139" s="51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50"/>
      <c r="I140" s="50"/>
      <c r="J140" s="50"/>
      <c r="K140" s="51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50"/>
      <c r="I141" s="50"/>
      <c r="J141" s="50"/>
      <c r="K141" s="51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50"/>
      <c r="I142" s="50"/>
      <c r="J142" s="50"/>
      <c r="K142" s="51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50"/>
      <c r="I143" s="50"/>
      <c r="J143" s="50"/>
      <c r="K143" s="51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50"/>
      <c r="I144" s="50"/>
      <c r="J144" s="50"/>
      <c r="K144" s="51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50"/>
      <c r="I145" s="50"/>
      <c r="J145" s="50"/>
      <c r="K145" s="51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50"/>
      <c r="I146" s="50"/>
      <c r="J146" s="50"/>
      <c r="K146" s="51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50"/>
      <c r="I147" s="50"/>
      <c r="J147" s="50"/>
      <c r="K147" s="51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50"/>
      <c r="I148" s="50"/>
      <c r="J148" s="50"/>
      <c r="K148" s="51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50"/>
      <c r="I149" s="50"/>
      <c r="J149" s="50"/>
      <c r="K149" s="51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50"/>
      <c r="I150" s="50"/>
      <c r="J150" s="50"/>
      <c r="K150" s="51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50"/>
      <c r="I151" s="50"/>
      <c r="J151" s="50"/>
      <c r="K151" s="51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50"/>
      <c r="I152" s="50"/>
      <c r="J152" s="50"/>
      <c r="K152" s="51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50"/>
      <c r="I153" s="50"/>
      <c r="J153" s="50"/>
      <c r="K153" s="51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50"/>
      <c r="I154" s="50"/>
      <c r="J154" s="50"/>
      <c r="K154" s="51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50"/>
      <c r="I155" s="50"/>
      <c r="J155" s="50"/>
      <c r="K155" s="51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50"/>
      <c r="I156" s="50"/>
      <c r="J156" s="50"/>
      <c r="K156" s="51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50"/>
      <c r="I157" s="50"/>
      <c r="J157" s="50"/>
      <c r="K157" s="51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50"/>
      <c r="I158" s="50"/>
      <c r="J158" s="50"/>
      <c r="K158" s="51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50"/>
      <c r="I159" s="50"/>
      <c r="J159" s="50"/>
      <c r="K159" s="51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50"/>
      <c r="I160" s="50"/>
      <c r="J160" s="50"/>
      <c r="K160" s="51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50"/>
      <c r="I161" s="50"/>
      <c r="J161" s="50"/>
      <c r="K161" s="51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50"/>
      <c r="I162" s="50"/>
      <c r="J162" s="50"/>
      <c r="K162" s="51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50"/>
      <c r="I163" s="50"/>
      <c r="J163" s="50"/>
      <c r="K163" s="51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50"/>
      <c r="I164" s="50"/>
      <c r="J164" s="50"/>
      <c r="K164" s="51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50"/>
      <c r="I165" s="50"/>
      <c r="J165" s="50"/>
      <c r="K165" s="51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50"/>
      <c r="I166" s="50"/>
      <c r="J166" s="50"/>
      <c r="K166" s="51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50"/>
      <c r="I167" s="50"/>
      <c r="J167" s="50"/>
      <c r="K167" s="51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50"/>
      <c r="I168" s="50"/>
      <c r="J168" s="50"/>
      <c r="K168" s="51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50"/>
      <c r="I169" s="50"/>
      <c r="J169" s="50"/>
      <c r="K169" s="51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50"/>
      <c r="I170" s="50"/>
      <c r="J170" s="50"/>
      <c r="K170" s="51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50"/>
      <c r="I171" s="50"/>
      <c r="J171" s="50"/>
      <c r="K171" s="51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50"/>
      <c r="I172" s="50"/>
      <c r="J172" s="50"/>
      <c r="K172" s="51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50"/>
      <c r="I173" s="50"/>
      <c r="J173" s="50"/>
      <c r="K173" s="51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50"/>
      <c r="I174" s="50"/>
      <c r="J174" s="50"/>
      <c r="K174" s="51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50"/>
      <c r="I175" s="50"/>
      <c r="J175" s="50"/>
      <c r="K175" s="51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50"/>
      <c r="I176" s="50"/>
      <c r="J176" s="50"/>
      <c r="K176" s="51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50"/>
      <c r="I177" s="50"/>
      <c r="J177" s="50"/>
      <c r="K177" s="51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50"/>
      <c r="I178" s="50"/>
      <c r="J178" s="50"/>
      <c r="K178" s="51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50"/>
      <c r="I179" s="50"/>
      <c r="J179" s="50"/>
      <c r="K179" s="51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50"/>
      <c r="I180" s="50"/>
      <c r="J180" s="50"/>
      <c r="K180" s="51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50"/>
      <c r="I181" s="50"/>
      <c r="J181" s="50"/>
      <c r="K181" s="51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50"/>
      <c r="I182" s="50"/>
      <c r="J182" s="50"/>
      <c r="K182" s="51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50"/>
      <c r="I183" s="50"/>
      <c r="J183" s="50"/>
      <c r="K183" s="51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50"/>
      <c r="I184" s="50"/>
      <c r="J184" s="50"/>
      <c r="K184" s="51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50"/>
      <c r="I185" s="50"/>
      <c r="J185" s="50"/>
      <c r="K185" s="51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50"/>
      <c r="I186" s="50"/>
      <c r="J186" s="50"/>
      <c r="K186" s="51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50"/>
      <c r="I187" s="50"/>
      <c r="J187" s="50"/>
      <c r="K187" s="51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50"/>
      <c r="I188" s="50"/>
      <c r="J188" s="50"/>
      <c r="K188" s="51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50"/>
      <c r="I189" s="50"/>
      <c r="J189" s="50"/>
      <c r="K189" s="51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50"/>
      <c r="I190" s="50"/>
      <c r="J190" s="50"/>
      <c r="K190" s="51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50"/>
      <c r="I191" s="50"/>
      <c r="J191" s="50"/>
      <c r="K191" s="51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50"/>
      <c r="I192" s="50"/>
      <c r="J192" s="50"/>
      <c r="K192" s="51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50"/>
      <c r="I193" s="50"/>
      <c r="J193" s="50"/>
      <c r="K193" s="51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50"/>
      <c r="I194" s="50"/>
      <c r="J194" s="50"/>
      <c r="K194" s="51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50"/>
      <c r="I195" s="50"/>
      <c r="J195" s="50"/>
      <c r="K195" s="51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50"/>
      <c r="I196" s="50"/>
      <c r="J196" s="50"/>
      <c r="K196" s="51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50"/>
      <c r="I197" s="50"/>
      <c r="J197" s="50"/>
      <c r="K197" s="51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50"/>
      <c r="I198" s="50"/>
      <c r="J198" s="50"/>
      <c r="K198" s="51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50"/>
      <c r="I199" s="50"/>
      <c r="J199" s="50"/>
      <c r="K199" s="51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50"/>
      <c r="I200" s="50"/>
      <c r="J200" s="50"/>
      <c r="K200" s="51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50"/>
      <c r="I201" s="50"/>
      <c r="J201" s="50"/>
      <c r="K201" s="51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50"/>
      <c r="I202" s="50"/>
      <c r="J202" s="50"/>
      <c r="K202" s="51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50"/>
      <c r="I203" s="50"/>
      <c r="J203" s="50"/>
      <c r="K203" s="51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50"/>
      <c r="I204" s="50"/>
      <c r="J204" s="50"/>
      <c r="K204" s="51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50"/>
      <c r="I205" s="50"/>
      <c r="J205" s="50"/>
      <c r="K205" s="51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50"/>
      <c r="I206" s="50"/>
      <c r="J206" s="50"/>
      <c r="K206" s="51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50"/>
      <c r="I207" s="50"/>
      <c r="J207" s="50"/>
      <c r="K207" s="51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50"/>
      <c r="I208" s="50"/>
      <c r="J208" s="50"/>
      <c r="K208" s="51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50"/>
      <c r="I209" s="50"/>
      <c r="J209" s="50"/>
      <c r="K209" s="51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50"/>
      <c r="I210" s="50"/>
      <c r="J210" s="50"/>
      <c r="K210" s="51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50"/>
      <c r="I211" s="50"/>
      <c r="J211" s="50"/>
      <c r="K211" s="51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50"/>
      <c r="I212" s="50"/>
      <c r="J212" s="50"/>
      <c r="K212" s="51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50"/>
      <c r="I213" s="50"/>
      <c r="J213" s="50"/>
      <c r="K213" s="51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50"/>
      <c r="I214" s="50"/>
      <c r="J214" s="50"/>
      <c r="K214" s="51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50"/>
      <c r="I215" s="50"/>
      <c r="J215" s="50"/>
      <c r="K215" s="51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50"/>
      <c r="I216" s="50"/>
      <c r="J216" s="50"/>
      <c r="K216" s="51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50"/>
      <c r="I217" s="50"/>
      <c r="J217" s="50"/>
      <c r="K217" s="51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50"/>
      <c r="I218" s="50"/>
      <c r="J218" s="50"/>
      <c r="K218" s="51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50"/>
      <c r="I219" s="50"/>
      <c r="J219" s="50"/>
      <c r="K219" s="51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50"/>
      <c r="I220" s="50"/>
      <c r="J220" s="50"/>
      <c r="K220" s="51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50"/>
      <c r="I221" s="50"/>
      <c r="J221" s="50"/>
      <c r="K221" s="51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50"/>
      <c r="I222" s="50"/>
      <c r="J222" s="50"/>
      <c r="K222" s="51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50"/>
      <c r="I223" s="50"/>
      <c r="J223" s="50"/>
      <c r="K223" s="51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50"/>
      <c r="I224" s="50"/>
      <c r="J224" s="50"/>
      <c r="K224" s="51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50"/>
      <c r="I225" s="50"/>
      <c r="J225" s="50"/>
      <c r="K225" s="51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50"/>
      <c r="I226" s="50"/>
      <c r="J226" s="50"/>
      <c r="K226" s="51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50"/>
      <c r="I227" s="50"/>
      <c r="J227" s="50"/>
      <c r="K227" s="51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50"/>
      <c r="I228" s="50"/>
      <c r="J228" s="50"/>
      <c r="K228" s="51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50"/>
      <c r="I229" s="50"/>
      <c r="J229" s="50"/>
      <c r="K229" s="51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50"/>
      <c r="I230" s="50"/>
      <c r="J230" s="50"/>
      <c r="K230" s="51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50"/>
      <c r="I231" s="50"/>
      <c r="J231" s="50"/>
      <c r="K231" s="51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50"/>
      <c r="I232" s="50"/>
      <c r="J232" s="50"/>
      <c r="K232" s="51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50"/>
      <c r="I233" s="50"/>
      <c r="J233" s="50"/>
      <c r="K233" s="51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50"/>
      <c r="I234" s="50"/>
      <c r="J234" s="50"/>
      <c r="K234" s="51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50"/>
      <c r="I235" s="50"/>
      <c r="J235" s="50"/>
      <c r="K235" s="51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50"/>
      <c r="I236" s="50"/>
      <c r="J236" s="50"/>
      <c r="K236" s="51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50"/>
      <c r="I237" s="50"/>
      <c r="J237" s="50"/>
      <c r="K237" s="51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50"/>
      <c r="I238" s="50"/>
      <c r="J238" s="50"/>
      <c r="K238" s="51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50"/>
      <c r="I239" s="50"/>
      <c r="J239" s="50"/>
      <c r="K239" s="51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50"/>
      <c r="I240" s="50"/>
      <c r="J240" s="50"/>
      <c r="K240" s="51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50"/>
      <c r="I241" s="50"/>
      <c r="J241" s="50"/>
      <c r="K241" s="51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50"/>
      <c r="I242" s="50"/>
      <c r="J242" s="50"/>
      <c r="K242" s="51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50"/>
      <c r="I243" s="50"/>
      <c r="J243" s="50"/>
      <c r="K243" s="51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50"/>
      <c r="I244" s="50"/>
      <c r="J244" s="50"/>
      <c r="K244" s="51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50"/>
      <c r="I245" s="50"/>
      <c r="J245" s="50"/>
      <c r="K245" s="51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50"/>
      <c r="I246" s="50"/>
      <c r="J246" s="50"/>
      <c r="K246" s="51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50"/>
      <c r="I247" s="50"/>
      <c r="J247" s="50"/>
      <c r="K247" s="51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50"/>
      <c r="I248" s="50"/>
      <c r="J248" s="50"/>
      <c r="K248" s="51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50"/>
      <c r="I249" s="50"/>
      <c r="J249" s="50"/>
      <c r="K249" s="51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50"/>
      <c r="I250" s="50"/>
      <c r="J250" s="50"/>
      <c r="K250" s="51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50"/>
      <c r="I251" s="50"/>
      <c r="J251" s="50"/>
      <c r="K251" s="51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50"/>
      <c r="I252" s="50"/>
      <c r="J252" s="50"/>
      <c r="K252" s="51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50"/>
      <c r="I253" s="50"/>
      <c r="J253" s="50"/>
      <c r="K253" s="51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50"/>
      <c r="I254" s="50"/>
      <c r="J254" s="50"/>
      <c r="K254" s="51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50"/>
      <c r="I255" s="50"/>
      <c r="J255" s="50"/>
      <c r="K255" s="51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50"/>
      <c r="I256" s="50"/>
      <c r="J256" s="50"/>
      <c r="K256" s="51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50"/>
      <c r="I257" s="50"/>
      <c r="J257" s="50"/>
      <c r="K257" s="51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50"/>
      <c r="I258" s="50"/>
      <c r="J258" s="50"/>
      <c r="K258" s="51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50"/>
      <c r="I259" s="50"/>
      <c r="J259" s="50"/>
      <c r="K259" s="51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50"/>
      <c r="I260" s="50"/>
      <c r="J260" s="50"/>
      <c r="K260" s="51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50"/>
      <c r="I261" s="50"/>
      <c r="J261" s="50"/>
      <c r="K261" s="51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50"/>
      <c r="I262" s="50"/>
      <c r="J262" s="50"/>
      <c r="K262" s="51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50"/>
      <c r="I263" s="50"/>
      <c r="J263" s="50"/>
      <c r="K263" s="51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50"/>
      <c r="I264" s="50"/>
      <c r="J264" s="50"/>
      <c r="K264" s="51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50"/>
      <c r="I265" s="50"/>
      <c r="J265" s="50"/>
      <c r="K265" s="51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50"/>
      <c r="I266" s="50"/>
      <c r="J266" s="50"/>
      <c r="K266" s="51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50"/>
      <c r="I267" s="50"/>
      <c r="J267" s="50"/>
      <c r="K267" s="51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50"/>
      <c r="I268" s="50"/>
      <c r="J268" s="50"/>
      <c r="K268" s="51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50"/>
      <c r="I269" s="50"/>
      <c r="J269" s="50"/>
      <c r="K269" s="51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50"/>
      <c r="I270" s="50"/>
      <c r="J270" s="50"/>
      <c r="K270" s="51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50"/>
      <c r="I271" s="50"/>
      <c r="J271" s="50"/>
      <c r="K271" s="51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50"/>
      <c r="I272" s="50"/>
      <c r="J272" s="50"/>
      <c r="K272" s="51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50"/>
      <c r="I273" s="50"/>
      <c r="J273" s="50"/>
      <c r="K273" s="51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50"/>
      <c r="I274" s="50"/>
      <c r="J274" s="50"/>
      <c r="K274" s="51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50"/>
      <c r="I275" s="50"/>
      <c r="J275" s="50"/>
      <c r="K275" s="51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50"/>
      <c r="I276" s="50"/>
      <c r="J276" s="50"/>
      <c r="K276" s="51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50"/>
      <c r="I277" s="50"/>
      <c r="J277" s="50"/>
      <c r="K277" s="51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50"/>
      <c r="I278" s="50"/>
      <c r="J278" s="50"/>
      <c r="K278" s="51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50"/>
      <c r="I279" s="50"/>
      <c r="J279" s="50"/>
      <c r="K279" s="51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50"/>
      <c r="I280" s="50"/>
      <c r="J280" s="50"/>
      <c r="K280" s="51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50"/>
      <c r="I281" s="50"/>
      <c r="J281" s="50"/>
      <c r="K281" s="51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50"/>
      <c r="I282" s="50"/>
      <c r="J282" s="50"/>
      <c r="K282" s="51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50"/>
      <c r="I283" s="50"/>
      <c r="J283" s="50"/>
      <c r="K283" s="51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50"/>
      <c r="I284" s="50"/>
      <c r="J284" s="50"/>
      <c r="K284" s="51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50"/>
      <c r="I285" s="50"/>
      <c r="J285" s="50"/>
      <c r="K285" s="51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50"/>
      <c r="I286" s="50"/>
      <c r="J286" s="50"/>
      <c r="K286" s="51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50"/>
      <c r="I287" s="50"/>
      <c r="J287" s="50"/>
      <c r="K287" s="51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50"/>
      <c r="I288" s="50"/>
      <c r="J288" s="50"/>
      <c r="K288" s="51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50"/>
      <c r="I289" s="50"/>
      <c r="J289" s="50"/>
      <c r="K289" s="51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50"/>
      <c r="I290" s="50"/>
      <c r="J290" s="50"/>
      <c r="K290" s="51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50"/>
      <c r="I291" s="50"/>
      <c r="J291" s="50"/>
      <c r="K291" s="51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50"/>
      <c r="I292" s="50"/>
      <c r="J292" s="50"/>
      <c r="K292" s="51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50"/>
      <c r="I293" s="50"/>
      <c r="J293" s="50"/>
      <c r="K293" s="51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50"/>
      <c r="I294" s="50"/>
      <c r="J294" s="50"/>
      <c r="K294" s="51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50"/>
      <c r="I295" s="50"/>
      <c r="J295" s="50"/>
      <c r="K295" s="51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50"/>
      <c r="I296" s="50"/>
      <c r="J296" s="50"/>
      <c r="K296" s="51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50"/>
      <c r="I297" s="50"/>
      <c r="J297" s="50"/>
      <c r="K297" s="51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50"/>
      <c r="I298" s="50"/>
      <c r="J298" s="50"/>
      <c r="K298" s="51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50"/>
      <c r="I299" s="50"/>
      <c r="J299" s="50"/>
      <c r="K299" s="51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50"/>
      <c r="I300" s="50"/>
      <c r="J300" s="50"/>
      <c r="K300" s="51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50"/>
      <c r="I301" s="50"/>
      <c r="J301" s="50"/>
      <c r="K301" s="51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50"/>
      <c r="I302" s="50"/>
      <c r="J302" s="50"/>
      <c r="K302" s="51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50"/>
      <c r="I303" s="50"/>
      <c r="J303" s="50"/>
      <c r="K303" s="51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50"/>
      <c r="I304" s="50"/>
      <c r="J304" s="50"/>
      <c r="K304" s="51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50"/>
      <c r="I305" s="50"/>
      <c r="J305" s="50"/>
      <c r="K305" s="51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50"/>
      <c r="I306" s="50"/>
      <c r="J306" s="50"/>
      <c r="K306" s="51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50"/>
      <c r="I307" s="50"/>
      <c r="J307" s="50"/>
      <c r="K307" s="51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50"/>
      <c r="I308" s="50"/>
      <c r="J308" s="50"/>
      <c r="K308" s="51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50"/>
      <c r="I309" s="50"/>
      <c r="J309" s="50"/>
      <c r="K309" s="51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50"/>
      <c r="I310" s="50"/>
      <c r="J310" s="50"/>
      <c r="K310" s="51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50"/>
      <c r="I311" s="50"/>
      <c r="J311" s="50"/>
      <c r="K311" s="51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50"/>
      <c r="I312" s="50"/>
      <c r="J312" s="50"/>
      <c r="K312" s="51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50"/>
      <c r="I313" s="50"/>
      <c r="J313" s="50"/>
      <c r="K313" s="51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50"/>
      <c r="I314" s="50"/>
      <c r="J314" s="50"/>
      <c r="K314" s="51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50"/>
      <c r="I315" s="50"/>
      <c r="J315" s="50"/>
      <c r="K315" s="51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50"/>
      <c r="I316" s="50"/>
      <c r="J316" s="50"/>
      <c r="K316" s="51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50"/>
      <c r="I317" s="50"/>
      <c r="J317" s="50"/>
      <c r="K317" s="51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50"/>
      <c r="I318" s="50"/>
      <c r="J318" s="50"/>
      <c r="K318" s="51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50"/>
      <c r="I319" s="50"/>
      <c r="J319" s="50"/>
      <c r="K319" s="51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50"/>
      <c r="I320" s="50"/>
      <c r="J320" s="50"/>
      <c r="K320" s="51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50"/>
      <c r="I321" s="50"/>
      <c r="J321" s="50"/>
      <c r="K321" s="51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50"/>
      <c r="I322" s="50"/>
      <c r="J322" s="50"/>
      <c r="K322" s="51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50"/>
      <c r="I323" s="50"/>
      <c r="J323" s="50"/>
      <c r="K323" s="51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50"/>
      <c r="I324" s="50"/>
      <c r="J324" s="50"/>
      <c r="K324" s="51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50"/>
      <c r="I325" s="50"/>
      <c r="J325" s="50"/>
      <c r="K325" s="51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50"/>
      <c r="I326" s="50"/>
      <c r="J326" s="50"/>
      <c r="K326" s="51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50"/>
      <c r="I327" s="50"/>
      <c r="J327" s="50"/>
      <c r="K327" s="51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50"/>
      <c r="I328" s="50"/>
      <c r="J328" s="50"/>
      <c r="K328" s="51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50"/>
      <c r="I329" s="50"/>
      <c r="J329" s="50"/>
      <c r="K329" s="51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50"/>
      <c r="I330" s="50"/>
      <c r="J330" s="50"/>
      <c r="K330" s="51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50"/>
      <c r="I331" s="50"/>
      <c r="J331" s="50"/>
      <c r="K331" s="51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50"/>
      <c r="I332" s="50"/>
      <c r="J332" s="50"/>
      <c r="K332" s="51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50"/>
      <c r="I333" s="50"/>
      <c r="J333" s="50"/>
      <c r="K333" s="51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50"/>
      <c r="I334" s="50"/>
      <c r="J334" s="50"/>
      <c r="K334" s="51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50"/>
      <c r="I335" s="50"/>
      <c r="J335" s="50"/>
      <c r="K335" s="51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50"/>
      <c r="I336" s="50"/>
      <c r="J336" s="50"/>
      <c r="K336" s="51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50"/>
      <c r="I337" s="50"/>
      <c r="J337" s="50"/>
      <c r="K337" s="51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50"/>
      <c r="I338" s="50"/>
      <c r="J338" s="50"/>
      <c r="K338" s="51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50"/>
      <c r="I339" s="50"/>
      <c r="J339" s="50"/>
      <c r="K339" s="51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50"/>
      <c r="I340" s="50"/>
      <c r="J340" s="50"/>
      <c r="K340" s="51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50"/>
      <c r="I341" s="50"/>
      <c r="J341" s="50"/>
      <c r="K341" s="51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50"/>
      <c r="I342" s="50"/>
      <c r="J342" s="50"/>
      <c r="K342" s="51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50"/>
      <c r="I343" s="50"/>
      <c r="J343" s="50"/>
      <c r="K343" s="51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50"/>
      <c r="I344" s="50"/>
      <c r="J344" s="50"/>
      <c r="K344" s="51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50"/>
      <c r="I345" s="50"/>
      <c r="J345" s="50"/>
      <c r="K345" s="51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50"/>
      <c r="I346" s="50"/>
      <c r="J346" s="50"/>
      <c r="K346" s="51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50"/>
      <c r="I347" s="50"/>
      <c r="J347" s="50"/>
      <c r="K347" s="51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50"/>
      <c r="I348" s="50"/>
      <c r="J348" s="50"/>
      <c r="K348" s="51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50"/>
      <c r="I349" s="50"/>
      <c r="J349" s="50"/>
      <c r="K349" s="51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50"/>
      <c r="I350" s="50"/>
      <c r="J350" s="50"/>
      <c r="K350" s="51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50"/>
      <c r="I351" s="50"/>
      <c r="J351" s="50"/>
      <c r="K351" s="51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50"/>
      <c r="I352" s="50"/>
      <c r="J352" s="50"/>
      <c r="K352" s="51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50"/>
      <c r="I353" s="50"/>
      <c r="J353" s="50"/>
      <c r="K353" s="51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50"/>
      <c r="I354" s="50"/>
      <c r="J354" s="50"/>
      <c r="K354" s="51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50"/>
      <c r="I355" s="50"/>
      <c r="J355" s="50"/>
      <c r="K355" s="51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50"/>
      <c r="I356" s="50"/>
      <c r="J356" s="50"/>
      <c r="K356" s="51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50"/>
      <c r="I357" s="50"/>
      <c r="J357" s="50"/>
      <c r="K357" s="51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50"/>
      <c r="I358" s="50"/>
      <c r="J358" s="50"/>
      <c r="K358" s="51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50"/>
      <c r="I359" s="50"/>
      <c r="J359" s="50"/>
      <c r="K359" s="51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50"/>
      <c r="I360" s="50"/>
      <c r="J360" s="50"/>
      <c r="K360" s="51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50"/>
      <c r="I361" s="50"/>
      <c r="J361" s="50"/>
      <c r="K361" s="51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50"/>
      <c r="I362" s="50"/>
      <c r="J362" s="50"/>
      <c r="K362" s="51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50"/>
      <c r="I363" s="50"/>
      <c r="J363" s="50"/>
      <c r="K363" s="51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50"/>
      <c r="I364" s="50"/>
      <c r="J364" s="50"/>
      <c r="K364" s="51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50"/>
      <c r="I365" s="50"/>
      <c r="J365" s="50"/>
      <c r="K365" s="51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50"/>
      <c r="I366" s="50"/>
      <c r="J366" s="50"/>
      <c r="K366" s="51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50"/>
      <c r="I367" s="50"/>
      <c r="J367" s="50"/>
      <c r="K367" s="51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50"/>
      <c r="I368" s="50"/>
      <c r="J368" s="50"/>
      <c r="K368" s="51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50"/>
      <c r="I369" s="50"/>
      <c r="J369" s="50"/>
      <c r="K369" s="51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50"/>
      <c r="I370" s="50"/>
      <c r="J370" s="50"/>
      <c r="K370" s="51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50"/>
      <c r="I371" s="50"/>
      <c r="J371" s="50"/>
      <c r="K371" s="51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50"/>
      <c r="I372" s="50"/>
      <c r="J372" s="50"/>
      <c r="K372" s="51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50"/>
      <c r="I373" s="50"/>
      <c r="J373" s="50"/>
      <c r="K373" s="51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50"/>
      <c r="I374" s="50"/>
      <c r="J374" s="50"/>
      <c r="K374" s="51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50"/>
      <c r="I375" s="50"/>
      <c r="J375" s="50"/>
      <c r="K375" s="51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50"/>
      <c r="I376" s="50"/>
      <c r="J376" s="50"/>
      <c r="K376" s="51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50"/>
      <c r="I377" s="50"/>
      <c r="J377" s="50"/>
      <c r="K377" s="51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50"/>
      <c r="I378" s="50"/>
      <c r="J378" s="50"/>
      <c r="K378" s="51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50"/>
      <c r="I379" s="50"/>
      <c r="J379" s="50"/>
      <c r="K379" s="51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50"/>
      <c r="I380" s="50"/>
      <c r="J380" s="50"/>
      <c r="K380" s="51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50"/>
      <c r="I381" s="50"/>
      <c r="J381" s="50"/>
      <c r="K381" s="51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50"/>
      <c r="I382" s="50"/>
      <c r="J382" s="50"/>
      <c r="K382" s="51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50"/>
      <c r="I383" s="50"/>
      <c r="J383" s="50"/>
      <c r="K383" s="51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50"/>
      <c r="I384" s="50"/>
      <c r="J384" s="50"/>
      <c r="K384" s="51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50"/>
      <c r="I385" s="50"/>
      <c r="J385" s="50"/>
      <c r="K385" s="51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50"/>
      <c r="I386" s="50"/>
      <c r="J386" s="50"/>
      <c r="K386" s="51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50"/>
      <c r="I387" s="50"/>
      <c r="J387" s="50"/>
      <c r="K387" s="51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50"/>
      <c r="I388" s="50"/>
      <c r="J388" s="50"/>
      <c r="K388" s="51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50"/>
      <c r="I389" s="50"/>
      <c r="J389" s="50"/>
      <c r="K389" s="51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50"/>
      <c r="I390" s="50"/>
      <c r="J390" s="50"/>
      <c r="K390" s="51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50"/>
      <c r="I391" s="50"/>
      <c r="J391" s="50"/>
      <c r="K391" s="51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50"/>
      <c r="I392" s="50"/>
      <c r="J392" s="50"/>
      <c r="K392" s="51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50"/>
      <c r="I393" s="50"/>
      <c r="J393" s="50"/>
      <c r="K393" s="51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50"/>
      <c r="I394" s="50"/>
      <c r="J394" s="50"/>
      <c r="K394" s="51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50"/>
      <c r="I395" s="50"/>
      <c r="J395" s="50"/>
      <c r="K395" s="51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50"/>
      <c r="I396" s="50"/>
      <c r="J396" s="50"/>
      <c r="K396" s="51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50"/>
      <c r="I397" s="50"/>
      <c r="J397" s="50"/>
      <c r="K397" s="51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50"/>
      <c r="I398" s="50"/>
      <c r="J398" s="50"/>
      <c r="K398" s="51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50"/>
      <c r="I399" s="50"/>
      <c r="J399" s="50"/>
      <c r="K399" s="51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50"/>
      <c r="I400" s="50"/>
      <c r="J400" s="50"/>
      <c r="K400" s="51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50"/>
      <c r="I401" s="50"/>
      <c r="J401" s="50"/>
      <c r="K401" s="51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50"/>
      <c r="I402" s="50"/>
      <c r="J402" s="50"/>
      <c r="K402" s="51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50"/>
      <c r="I403" s="50"/>
      <c r="J403" s="50"/>
      <c r="K403" s="51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50"/>
      <c r="I404" s="50"/>
      <c r="J404" s="50"/>
      <c r="K404" s="51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50"/>
      <c r="I405" s="50"/>
      <c r="J405" s="50"/>
      <c r="K405" s="51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50"/>
      <c r="I406" s="50"/>
      <c r="J406" s="50"/>
      <c r="K406" s="51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50"/>
      <c r="I407" s="50"/>
      <c r="J407" s="50"/>
      <c r="K407" s="51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50"/>
      <c r="I408" s="50"/>
      <c r="J408" s="50"/>
      <c r="K408" s="51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50"/>
      <c r="I409" s="50"/>
      <c r="J409" s="50"/>
      <c r="K409" s="51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50"/>
      <c r="I410" s="50"/>
      <c r="J410" s="50"/>
      <c r="K410" s="51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50"/>
      <c r="I411" s="50"/>
      <c r="J411" s="50"/>
      <c r="K411" s="51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50"/>
      <c r="I412" s="50"/>
      <c r="J412" s="50"/>
      <c r="K412" s="51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50"/>
      <c r="I413" s="50"/>
      <c r="J413" s="50"/>
      <c r="K413" s="51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50"/>
      <c r="I414" s="50"/>
      <c r="J414" s="50"/>
      <c r="K414" s="51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50"/>
      <c r="I415" s="50"/>
      <c r="J415" s="50"/>
      <c r="K415" s="51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50"/>
      <c r="I416" s="50"/>
      <c r="J416" s="50"/>
      <c r="K416" s="51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50"/>
      <c r="I417" s="50"/>
      <c r="J417" s="50"/>
      <c r="K417" s="51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50"/>
      <c r="I418" s="50"/>
      <c r="J418" s="50"/>
      <c r="K418" s="51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50"/>
      <c r="I419" s="50"/>
      <c r="J419" s="50"/>
      <c r="K419" s="51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50"/>
      <c r="I420" s="50"/>
      <c r="J420" s="50"/>
      <c r="K420" s="51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50"/>
      <c r="I421" s="50"/>
      <c r="J421" s="50"/>
      <c r="K421" s="51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50"/>
      <c r="I422" s="50"/>
      <c r="J422" s="50"/>
      <c r="K422" s="51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50"/>
      <c r="I423" s="50"/>
      <c r="J423" s="50"/>
      <c r="K423" s="51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50"/>
      <c r="I424" s="50"/>
      <c r="J424" s="50"/>
      <c r="K424" s="51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50"/>
      <c r="I425" s="50"/>
      <c r="J425" s="50"/>
      <c r="K425" s="51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50"/>
      <c r="I426" s="50"/>
      <c r="J426" s="50"/>
      <c r="K426" s="51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50"/>
      <c r="I427" s="50"/>
      <c r="J427" s="50"/>
      <c r="K427" s="51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50"/>
      <c r="I428" s="50"/>
      <c r="J428" s="50"/>
      <c r="K428" s="51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50"/>
      <c r="I429" s="50"/>
      <c r="J429" s="50"/>
      <c r="K429" s="51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50"/>
      <c r="I430" s="50"/>
      <c r="J430" s="50"/>
      <c r="K430" s="51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50"/>
      <c r="I431" s="50"/>
      <c r="J431" s="50"/>
      <c r="K431" s="51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50"/>
      <c r="I432" s="50"/>
      <c r="J432" s="50"/>
      <c r="K432" s="51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50"/>
      <c r="I433" s="50"/>
      <c r="J433" s="50"/>
      <c r="K433" s="51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50"/>
      <c r="I434" s="50"/>
      <c r="J434" s="50"/>
      <c r="K434" s="51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50"/>
      <c r="I435" s="50"/>
      <c r="J435" s="50"/>
      <c r="K435" s="51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50"/>
      <c r="I436" s="50"/>
      <c r="J436" s="50"/>
      <c r="K436" s="51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50"/>
      <c r="I437" s="50"/>
      <c r="J437" s="50"/>
      <c r="K437" s="51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50"/>
      <c r="I438" s="50"/>
      <c r="J438" s="50"/>
      <c r="K438" s="51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50"/>
      <c r="I439" s="50"/>
      <c r="J439" s="50"/>
      <c r="K439" s="51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50"/>
      <c r="I440" s="50"/>
      <c r="J440" s="50"/>
      <c r="K440" s="51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50"/>
      <c r="I441" s="50"/>
      <c r="J441" s="50"/>
      <c r="K441" s="51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50"/>
      <c r="I442" s="50"/>
      <c r="J442" s="50"/>
      <c r="K442" s="51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50"/>
      <c r="I443" s="50"/>
      <c r="J443" s="50"/>
      <c r="K443" s="51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50"/>
      <c r="I444" s="50"/>
      <c r="J444" s="50"/>
      <c r="K444" s="51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50"/>
      <c r="I445" s="50"/>
      <c r="J445" s="50"/>
      <c r="K445" s="51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50"/>
      <c r="I446" s="50"/>
      <c r="J446" s="50"/>
      <c r="K446" s="51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50"/>
      <c r="I447" s="50"/>
      <c r="J447" s="50"/>
      <c r="K447" s="51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50"/>
      <c r="I448" s="50"/>
      <c r="J448" s="50"/>
      <c r="K448" s="51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50"/>
      <c r="I449" s="50"/>
      <c r="J449" s="50"/>
      <c r="K449" s="51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50"/>
      <c r="I450" s="50"/>
      <c r="J450" s="50"/>
      <c r="K450" s="51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50"/>
      <c r="I451" s="50"/>
      <c r="J451" s="50"/>
      <c r="K451" s="51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50"/>
      <c r="I452" s="50"/>
      <c r="J452" s="50"/>
      <c r="K452" s="51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50"/>
      <c r="I453" s="50"/>
      <c r="J453" s="50"/>
      <c r="K453" s="51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50"/>
      <c r="I454" s="50"/>
      <c r="J454" s="50"/>
      <c r="K454" s="51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50"/>
      <c r="I455" s="50"/>
      <c r="J455" s="50"/>
      <c r="K455" s="51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50"/>
      <c r="I456" s="50"/>
      <c r="J456" s="50"/>
      <c r="K456" s="51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50"/>
      <c r="I457" s="50"/>
      <c r="J457" s="50"/>
      <c r="K457" s="51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50"/>
      <c r="I458" s="50"/>
      <c r="J458" s="50"/>
      <c r="K458" s="51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50"/>
      <c r="I459" s="50"/>
      <c r="J459" s="50"/>
      <c r="K459" s="51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50"/>
      <c r="I460" s="50"/>
      <c r="J460" s="50"/>
      <c r="K460" s="51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50"/>
      <c r="I461" s="50"/>
      <c r="J461" s="50"/>
      <c r="K461" s="51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50"/>
      <c r="I462" s="50"/>
      <c r="J462" s="50"/>
      <c r="K462" s="51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50"/>
      <c r="I463" s="50"/>
      <c r="J463" s="50"/>
      <c r="K463" s="51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50"/>
      <c r="I464" s="50"/>
      <c r="J464" s="50"/>
      <c r="K464" s="51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50"/>
      <c r="I465" s="50"/>
      <c r="J465" s="50"/>
      <c r="K465" s="51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50"/>
      <c r="I466" s="50"/>
      <c r="J466" s="50"/>
      <c r="K466" s="51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50"/>
      <c r="I467" s="50"/>
      <c r="J467" s="50"/>
      <c r="K467" s="51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50"/>
      <c r="I468" s="50"/>
      <c r="J468" s="50"/>
      <c r="K468" s="51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50"/>
      <c r="I469" s="50"/>
      <c r="J469" s="50"/>
      <c r="K469" s="51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50"/>
      <c r="I470" s="50"/>
      <c r="J470" s="50"/>
      <c r="K470" s="51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50"/>
      <c r="I471" s="50"/>
      <c r="J471" s="50"/>
      <c r="K471" s="51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50"/>
      <c r="I472" s="50"/>
      <c r="J472" s="50"/>
      <c r="K472" s="51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50"/>
      <c r="I473" s="50"/>
      <c r="J473" s="50"/>
      <c r="K473" s="51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50"/>
      <c r="I474" s="50"/>
      <c r="J474" s="50"/>
      <c r="K474" s="51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50"/>
      <c r="I475" s="50"/>
      <c r="J475" s="50"/>
      <c r="K475" s="51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50"/>
      <c r="I476" s="50"/>
      <c r="J476" s="50"/>
      <c r="K476" s="51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50"/>
      <c r="I477" s="50"/>
      <c r="J477" s="50"/>
      <c r="K477" s="51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50"/>
      <c r="I478" s="50"/>
      <c r="J478" s="50"/>
      <c r="K478" s="51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50"/>
      <c r="I479" s="50"/>
      <c r="J479" s="50"/>
      <c r="K479" s="51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50"/>
      <c r="I480" s="50"/>
      <c r="J480" s="50"/>
      <c r="K480" s="51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50"/>
      <c r="I481" s="50"/>
      <c r="J481" s="50"/>
      <c r="K481" s="51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50"/>
      <c r="I482" s="50"/>
      <c r="J482" s="50"/>
      <c r="K482" s="51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50"/>
      <c r="I483" s="50"/>
      <c r="J483" s="50"/>
      <c r="K483" s="51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50"/>
      <c r="I484" s="50"/>
      <c r="J484" s="50"/>
      <c r="K484" s="51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50"/>
      <c r="I485" s="50"/>
      <c r="J485" s="50"/>
      <c r="K485" s="51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50"/>
      <c r="I486" s="50"/>
      <c r="J486" s="50"/>
      <c r="K486" s="51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50"/>
      <c r="I487" s="50"/>
      <c r="J487" s="50"/>
      <c r="K487" s="51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50"/>
      <c r="I488" s="50"/>
      <c r="J488" s="50"/>
      <c r="K488" s="51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50"/>
      <c r="I489" s="50"/>
      <c r="J489" s="50"/>
      <c r="K489" s="51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50"/>
      <c r="I490" s="50"/>
      <c r="J490" s="50"/>
      <c r="K490" s="51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50"/>
      <c r="I491" s="50"/>
      <c r="J491" s="50"/>
      <c r="K491" s="51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50"/>
      <c r="I492" s="50"/>
      <c r="J492" s="50"/>
      <c r="K492" s="51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50"/>
      <c r="I493" s="50"/>
      <c r="J493" s="50"/>
      <c r="K493" s="51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50"/>
      <c r="I494" s="50"/>
      <c r="J494" s="50"/>
      <c r="K494" s="51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50"/>
      <c r="I495" s="50"/>
      <c r="J495" s="50"/>
      <c r="K495" s="51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50"/>
      <c r="I496" s="50"/>
      <c r="J496" s="50"/>
      <c r="K496" s="51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50"/>
      <c r="I497" s="50"/>
      <c r="J497" s="50"/>
      <c r="K497" s="51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50"/>
      <c r="I498" s="50"/>
      <c r="J498" s="50"/>
      <c r="K498" s="51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50"/>
      <c r="I499" s="50"/>
      <c r="J499" s="50"/>
      <c r="K499" s="51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50"/>
      <c r="I500" s="50"/>
      <c r="J500" s="50"/>
      <c r="K500" s="51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50"/>
      <c r="I501" s="50"/>
      <c r="J501" s="50"/>
      <c r="K501" s="51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50"/>
      <c r="I502" s="50"/>
      <c r="J502" s="50"/>
      <c r="K502" s="51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50"/>
      <c r="I503" s="50"/>
      <c r="J503" s="50"/>
      <c r="K503" s="51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50"/>
      <c r="I504" s="50"/>
      <c r="J504" s="50"/>
      <c r="K504" s="51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50"/>
      <c r="I505" s="50"/>
      <c r="J505" s="50"/>
      <c r="K505" s="51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50"/>
      <c r="I506" s="50"/>
      <c r="J506" s="50"/>
      <c r="K506" s="51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50"/>
      <c r="I507" s="50"/>
      <c r="J507" s="50"/>
      <c r="K507" s="51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50"/>
      <c r="I508" s="50"/>
      <c r="J508" s="50"/>
      <c r="K508" s="51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50"/>
      <c r="I509" s="50"/>
      <c r="J509" s="50"/>
      <c r="K509" s="51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50"/>
      <c r="I510" s="50"/>
      <c r="J510" s="50"/>
      <c r="K510" s="51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50"/>
      <c r="I511" s="50"/>
      <c r="J511" s="50"/>
      <c r="K511" s="51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50"/>
      <c r="I512" s="50"/>
      <c r="J512" s="50"/>
      <c r="K512" s="51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50"/>
      <c r="I513" s="50"/>
      <c r="J513" s="50"/>
      <c r="K513" s="51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50"/>
      <c r="I514" s="50"/>
      <c r="J514" s="50"/>
      <c r="K514" s="51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50"/>
      <c r="I515" s="50"/>
      <c r="J515" s="50"/>
      <c r="K515" s="51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50"/>
      <c r="I516" s="50"/>
      <c r="J516" s="50"/>
      <c r="K516" s="51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50"/>
      <c r="I517" s="50"/>
      <c r="J517" s="50"/>
      <c r="K517" s="51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50"/>
      <c r="I518" s="50"/>
      <c r="J518" s="50"/>
      <c r="K518" s="51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50"/>
      <c r="I519" s="50"/>
      <c r="J519" s="50"/>
      <c r="K519" s="51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50"/>
      <c r="I520" s="50"/>
      <c r="J520" s="50"/>
      <c r="K520" s="51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50"/>
      <c r="I521" s="50"/>
      <c r="J521" s="50"/>
      <c r="K521" s="51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50"/>
      <c r="I522" s="50"/>
      <c r="J522" s="50"/>
      <c r="K522" s="51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50"/>
      <c r="I523" s="50"/>
      <c r="J523" s="50"/>
      <c r="K523" s="51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50"/>
      <c r="I524" s="50"/>
      <c r="J524" s="50"/>
      <c r="K524" s="51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50"/>
      <c r="I525" s="50"/>
      <c r="J525" s="50"/>
      <c r="K525" s="51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50"/>
      <c r="I526" s="50"/>
      <c r="J526" s="50"/>
      <c r="K526" s="51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50"/>
      <c r="I527" s="50"/>
      <c r="J527" s="50"/>
      <c r="K527" s="51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50"/>
      <c r="I528" s="50"/>
      <c r="J528" s="50"/>
      <c r="K528" s="51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50"/>
      <c r="I529" s="50"/>
      <c r="J529" s="50"/>
      <c r="K529" s="51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50"/>
      <c r="I530" s="50"/>
      <c r="J530" s="50"/>
      <c r="K530" s="51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50"/>
      <c r="I531" s="50"/>
      <c r="J531" s="50"/>
      <c r="K531" s="51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50"/>
      <c r="I532" s="50"/>
      <c r="J532" s="50"/>
      <c r="K532" s="51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50"/>
      <c r="I533" s="50"/>
      <c r="J533" s="50"/>
      <c r="K533" s="51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50"/>
      <c r="I534" s="50"/>
      <c r="J534" s="50"/>
      <c r="K534" s="51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50"/>
      <c r="I535" s="50"/>
      <c r="J535" s="50"/>
      <c r="K535" s="51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50"/>
      <c r="I536" s="50"/>
      <c r="J536" s="50"/>
      <c r="K536" s="51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50"/>
      <c r="I537" s="50"/>
      <c r="J537" s="50"/>
      <c r="K537" s="51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50"/>
      <c r="I538" s="50"/>
      <c r="J538" s="50"/>
      <c r="K538" s="51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50"/>
      <c r="I539" s="50"/>
      <c r="J539" s="50"/>
      <c r="K539" s="51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50"/>
      <c r="I540" s="50"/>
      <c r="J540" s="50"/>
      <c r="K540" s="51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50"/>
      <c r="I541" s="50"/>
      <c r="J541" s="50"/>
      <c r="K541" s="51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50"/>
      <c r="I542" s="50"/>
      <c r="J542" s="50"/>
      <c r="K542" s="51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50"/>
      <c r="I543" s="50"/>
      <c r="J543" s="50"/>
      <c r="K543" s="51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50"/>
      <c r="I544" s="50"/>
      <c r="J544" s="50"/>
      <c r="K544" s="51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50"/>
      <c r="I545" s="50"/>
      <c r="J545" s="50"/>
      <c r="K545" s="51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50"/>
      <c r="I546" s="50"/>
      <c r="J546" s="50"/>
      <c r="K546" s="51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50"/>
      <c r="I547" s="50"/>
      <c r="J547" s="50"/>
      <c r="K547" s="51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50"/>
      <c r="I548" s="50"/>
      <c r="J548" s="50"/>
      <c r="K548" s="51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50"/>
      <c r="I549" s="50"/>
      <c r="J549" s="50"/>
      <c r="K549" s="51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50"/>
      <c r="I550" s="50"/>
      <c r="J550" s="50"/>
      <c r="K550" s="51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50"/>
      <c r="I551" s="50"/>
      <c r="J551" s="50"/>
      <c r="K551" s="51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50"/>
      <c r="I552" s="50"/>
      <c r="J552" s="50"/>
      <c r="K552" s="51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50"/>
      <c r="I553" s="50"/>
      <c r="J553" s="50"/>
      <c r="K553" s="51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50"/>
      <c r="I554" s="50"/>
      <c r="J554" s="50"/>
      <c r="K554" s="51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50"/>
      <c r="I555" s="50"/>
      <c r="J555" s="50"/>
      <c r="K555" s="51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50"/>
      <c r="I556" s="50"/>
      <c r="J556" s="50"/>
      <c r="K556" s="51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50"/>
      <c r="I557" s="50"/>
      <c r="J557" s="50"/>
      <c r="K557" s="51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50"/>
      <c r="I558" s="50"/>
      <c r="J558" s="50"/>
      <c r="K558" s="51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50"/>
      <c r="I559" s="50"/>
      <c r="J559" s="50"/>
      <c r="K559" s="51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50"/>
      <c r="I560" s="50"/>
      <c r="J560" s="50"/>
      <c r="K560" s="51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50"/>
      <c r="I561" s="50"/>
      <c r="J561" s="50"/>
      <c r="K561" s="51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50"/>
      <c r="I562" s="50"/>
      <c r="J562" s="50"/>
      <c r="K562" s="51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50"/>
      <c r="I563" s="50"/>
      <c r="J563" s="50"/>
      <c r="K563" s="51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50"/>
      <c r="I564" s="50"/>
      <c r="J564" s="50"/>
      <c r="K564" s="51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50"/>
      <c r="I565" s="50"/>
      <c r="J565" s="50"/>
      <c r="K565" s="51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50"/>
      <c r="I566" s="50"/>
      <c r="J566" s="50"/>
      <c r="K566" s="51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50"/>
      <c r="I567" s="50"/>
      <c r="J567" s="50"/>
      <c r="K567" s="51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50"/>
      <c r="I568" s="50"/>
      <c r="J568" s="50"/>
      <c r="K568" s="51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50"/>
      <c r="I569" s="50"/>
      <c r="J569" s="50"/>
      <c r="K569" s="51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50"/>
      <c r="I570" s="50"/>
      <c r="J570" s="50"/>
      <c r="K570" s="51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50"/>
      <c r="I571" s="50"/>
      <c r="J571" s="50"/>
      <c r="K571" s="51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50"/>
      <c r="I572" s="50"/>
      <c r="J572" s="50"/>
      <c r="K572" s="51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50"/>
      <c r="I573" s="50"/>
      <c r="J573" s="50"/>
      <c r="K573" s="51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50"/>
      <c r="I574" s="50"/>
      <c r="J574" s="50"/>
      <c r="K574" s="51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50"/>
      <c r="I575" s="50"/>
      <c r="J575" s="50"/>
      <c r="K575" s="51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50"/>
      <c r="I576" s="50"/>
      <c r="J576" s="50"/>
      <c r="K576" s="51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50"/>
      <c r="I577" s="50"/>
      <c r="J577" s="50"/>
      <c r="K577" s="51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50"/>
      <c r="I578" s="50"/>
      <c r="J578" s="50"/>
      <c r="K578" s="51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50"/>
      <c r="I579" s="50"/>
      <c r="J579" s="50"/>
      <c r="K579" s="51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50"/>
      <c r="I580" s="50"/>
      <c r="J580" s="50"/>
      <c r="K580" s="51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50"/>
      <c r="I581" s="50"/>
      <c r="J581" s="50"/>
      <c r="K581" s="51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50"/>
      <c r="I582" s="50"/>
      <c r="J582" s="50"/>
      <c r="K582" s="51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50"/>
      <c r="I583" s="50"/>
      <c r="J583" s="50"/>
      <c r="K583" s="51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50"/>
      <c r="I584" s="50"/>
      <c r="J584" s="50"/>
      <c r="K584" s="51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50"/>
      <c r="I585" s="50"/>
      <c r="J585" s="50"/>
      <c r="K585" s="51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50"/>
      <c r="I586" s="50"/>
      <c r="J586" s="50"/>
      <c r="K586" s="51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50"/>
      <c r="I587" s="50"/>
      <c r="J587" s="50"/>
      <c r="K587" s="51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50"/>
      <c r="I588" s="50"/>
      <c r="J588" s="50"/>
      <c r="K588" s="51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50"/>
      <c r="I589" s="50"/>
      <c r="J589" s="50"/>
      <c r="K589" s="51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50"/>
      <c r="I590" s="50"/>
      <c r="J590" s="50"/>
      <c r="K590" s="51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50"/>
      <c r="I591" s="50"/>
      <c r="J591" s="50"/>
      <c r="K591" s="51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50"/>
      <c r="I592" s="50"/>
      <c r="J592" s="50"/>
      <c r="K592" s="51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50"/>
      <c r="I593" s="50"/>
      <c r="J593" s="50"/>
      <c r="K593" s="51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50"/>
      <c r="I594" s="50"/>
      <c r="J594" s="50"/>
      <c r="K594" s="51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50"/>
      <c r="I595" s="50"/>
      <c r="J595" s="50"/>
      <c r="K595" s="51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50"/>
      <c r="I596" s="50"/>
      <c r="J596" s="50"/>
      <c r="K596" s="51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50"/>
      <c r="I597" s="50"/>
      <c r="J597" s="50"/>
      <c r="K597" s="51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50"/>
      <c r="I598" s="50"/>
      <c r="J598" s="50"/>
      <c r="K598" s="51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50"/>
      <c r="I599" s="50"/>
      <c r="J599" s="50"/>
      <c r="K599" s="51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50"/>
      <c r="I600" s="50"/>
      <c r="J600" s="50"/>
      <c r="K600" s="51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50"/>
      <c r="I601" s="50"/>
      <c r="J601" s="50"/>
      <c r="K601" s="51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50"/>
      <c r="I602" s="50"/>
      <c r="J602" s="50"/>
      <c r="K602" s="51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50"/>
      <c r="I603" s="50"/>
      <c r="J603" s="50"/>
      <c r="K603" s="51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50"/>
      <c r="I604" s="50"/>
      <c r="J604" s="50"/>
      <c r="K604" s="51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50"/>
      <c r="I605" s="50"/>
      <c r="J605" s="50"/>
      <c r="K605" s="51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50"/>
      <c r="I606" s="50"/>
      <c r="J606" s="50"/>
      <c r="K606" s="51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50"/>
      <c r="I607" s="50"/>
      <c r="J607" s="50"/>
      <c r="K607" s="51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50"/>
      <c r="I608" s="50"/>
      <c r="J608" s="50"/>
      <c r="K608" s="51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50"/>
      <c r="I609" s="50"/>
      <c r="J609" s="50"/>
      <c r="K609" s="51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50"/>
      <c r="I610" s="50"/>
      <c r="J610" s="50"/>
      <c r="K610" s="51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50"/>
      <c r="I611" s="50"/>
      <c r="J611" s="50"/>
      <c r="K611" s="51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50"/>
      <c r="I612" s="50"/>
      <c r="J612" s="50"/>
      <c r="K612" s="51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50"/>
      <c r="I613" s="50"/>
      <c r="J613" s="50"/>
      <c r="K613" s="51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50"/>
      <c r="I614" s="50"/>
      <c r="J614" s="50"/>
      <c r="K614" s="51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50"/>
      <c r="I615" s="50"/>
      <c r="J615" s="50"/>
      <c r="K615" s="51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50"/>
      <c r="I616" s="50"/>
      <c r="J616" s="50"/>
      <c r="K616" s="51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50"/>
      <c r="I617" s="50"/>
      <c r="J617" s="50"/>
      <c r="K617" s="51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50"/>
      <c r="I618" s="50"/>
      <c r="J618" s="50"/>
      <c r="K618" s="51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50"/>
      <c r="I619" s="50"/>
      <c r="J619" s="50"/>
      <c r="K619" s="51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50"/>
      <c r="I620" s="50"/>
      <c r="J620" s="50"/>
      <c r="K620" s="51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50"/>
      <c r="I621" s="50"/>
      <c r="J621" s="50"/>
      <c r="K621" s="51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50"/>
      <c r="I622" s="50"/>
      <c r="J622" s="50"/>
      <c r="K622" s="51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50"/>
      <c r="I623" s="50"/>
      <c r="J623" s="50"/>
      <c r="K623" s="51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50"/>
      <c r="I624" s="50"/>
      <c r="J624" s="50"/>
      <c r="K624" s="51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50"/>
      <c r="I625" s="50"/>
      <c r="J625" s="50"/>
      <c r="K625" s="51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50"/>
      <c r="I626" s="50"/>
      <c r="J626" s="50"/>
      <c r="K626" s="51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50"/>
      <c r="I627" s="50"/>
      <c r="J627" s="50"/>
      <c r="K627" s="51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50"/>
      <c r="I628" s="50"/>
      <c r="J628" s="50"/>
      <c r="K628" s="51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50"/>
      <c r="I629" s="50"/>
      <c r="J629" s="50"/>
      <c r="K629" s="51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50"/>
      <c r="I630" s="50"/>
      <c r="J630" s="50"/>
      <c r="K630" s="51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50"/>
      <c r="I631" s="50"/>
      <c r="J631" s="50"/>
      <c r="K631" s="51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50"/>
      <c r="I632" s="50"/>
      <c r="J632" s="50"/>
      <c r="K632" s="51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50"/>
      <c r="I633" s="50"/>
      <c r="J633" s="50"/>
      <c r="K633" s="51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50"/>
      <c r="I634" s="50"/>
      <c r="J634" s="50"/>
      <c r="K634" s="51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50"/>
      <c r="I635" s="50"/>
      <c r="J635" s="50"/>
      <c r="K635" s="51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50"/>
      <c r="I636" s="50"/>
      <c r="J636" s="50"/>
      <c r="K636" s="51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50"/>
      <c r="I637" s="50"/>
      <c r="J637" s="50"/>
      <c r="K637" s="51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50"/>
      <c r="I638" s="50"/>
      <c r="J638" s="50"/>
      <c r="K638" s="51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50"/>
      <c r="I639" s="50"/>
      <c r="J639" s="50"/>
      <c r="K639" s="51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50"/>
      <c r="I640" s="50"/>
      <c r="J640" s="50"/>
      <c r="K640" s="51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50"/>
      <c r="I641" s="50"/>
      <c r="J641" s="50"/>
      <c r="K641" s="51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50"/>
      <c r="I642" s="50"/>
      <c r="J642" s="50"/>
      <c r="K642" s="51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50"/>
      <c r="I643" s="50"/>
      <c r="J643" s="50"/>
      <c r="K643" s="51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50"/>
      <c r="I644" s="50"/>
      <c r="J644" s="50"/>
      <c r="K644" s="51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50"/>
      <c r="I645" s="50"/>
      <c r="J645" s="50"/>
      <c r="K645" s="51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50"/>
      <c r="I646" s="50"/>
      <c r="J646" s="50"/>
      <c r="K646" s="51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50"/>
      <c r="I647" s="50"/>
      <c r="J647" s="50"/>
      <c r="K647" s="51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50"/>
      <c r="I648" s="50"/>
      <c r="J648" s="50"/>
      <c r="K648" s="51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50"/>
      <c r="I649" s="50"/>
      <c r="J649" s="50"/>
      <c r="K649" s="51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50"/>
      <c r="I650" s="50"/>
      <c r="J650" s="50"/>
      <c r="K650" s="51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50"/>
      <c r="I651" s="50"/>
      <c r="J651" s="50"/>
      <c r="K651" s="51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50"/>
      <c r="I652" s="50"/>
      <c r="J652" s="50"/>
      <c r="K652" s="51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50"/>
      <c r="I653" s="50"/>
      <c r="J653" s="50"/>
      <c r="K653" s="51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50"/>
      <c r="I654" s="50"/>
      <c r="J654" s="50"/>
      <c r="K654" s="51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50"/>
      <c r="I655" s="50"/>
      <c r="J655" s="50"/>
      <c r="K655" s="51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50"/>
      <c r="I656" s="50"/>
      <c r="J656" s="50"/>
      <c r="K656" s="51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50"/>
      <c r="I657" s="50"/>
      <c r="J657" s="50"/>
      <c r="K657" s="51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50"/>
      <c r="I658" s="50"/>
      <c r="J658" s="50"/>
      <c r="K658" s="51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50"/>
      <c r="I659" s="50"/>
      <c r="J659" s="50"/>
      <c r="K659" s="51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50"/>
      <c r="I660" s="50"/>
      <c r="J660" s="50"/>
      <c r="K660" s="51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50"/>
      <c r="I661" s="50"/>
      <c r="J661" s="50"/>
      <c r="K661" s="51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50"/>
      <c r="I662" s="50"/>
      <c r="J662" s="50"/>
      <c r="K662" s="51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50"/>
      <c r="I663" s="50"/>
      <c r="J663" s="50"/>
      <c r="K663" s="51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50"/>
      <c r="I664" s="50"/>
      <c r="J664" s="50"/>
      <c r="K664" s="51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50"/>
      <c r="I665" s="50"/>
      <c r="J665" s="50"/>
      <c r="K665" s="51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50"/>
      <c r="I666" s="50"/>
      <c r="J666" s="50"/>
      <c r="K666" s="51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50"/>
      <c r="I667" s="50"/>
      <c r="J667" s="50"/>
      <c r="K667" s="51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50"/>
      <c r="I668" s="50"/>
      <c r="J668" s="50"/>
      <c r="K668" s="51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50"/>
      <c r="I669" s="50"/>
      <c r="J669" s="50"/>
      <c r="K669" s="51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50"/>
      <c r="I670" s="50"/>
      <c r="J670" s="50"/>
      <c r="K670" s="51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50"/>
      <c r="I671" s="50"/>
      <c r="J671" s="50"/>
      <c r="K671" s="51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50"/>
      <c r="I672" s="50"/>
      <c r="J672" s="50"/>
      <c r="K672" s="51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50"/>
      <c r="I673" s="50"/>
      <c r="J673" s="50"/>
      <c r="K673" s="51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50"/>
      <c r="I674" s="50"/>
      <c r="J674" s="50"/>
      <c r="K674" s="51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50"/>
      <c r="I675" s="50"/>
      <c r="J675" s="50"/>
      <c r="K675" s="51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50"/>
      <c r="I676" s="50"/>
      <c r="J676" s="50"/>
      <c r="K676" s="51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50"/>
      <c r="I677" s="50"/>
      <c r="J677" s="50"/>
      <c r="K677" s="51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50"/>
      <c r="I678" s="50"/>
      <c r="J678" s="50"/>
      <c r="K678" s="51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50"/>
      <c r="I679" s="50"/>
      <c r="J679" s="50"/>
      <c r="K679" s="51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50"/>
      <c r="I680" s="50"/>
      <c r="J680" s="50"/>
      <c r="K680" s="51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50"/>
      <c r="I681" s="50"/>
      <c r="J681" s="50"/>
      <c r="K681" s="51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50"/>
      <c r="I682" s="50"/>
      <c r="J682" s="50"/>
      <c r="K682" s="51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50"/>
      <c r="I683" s="50"/>
      <c r="J683" s="50"/>
      <c r="K683" s="51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50"/>
      <c r="I684" s="50"/>
      <c r="J684" s="50"/>
      <c r="K684" s="51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50"/>
      <c r="I685" s="50"/>
      <c r="J685" s="50"/>
      <c r="K685" s="51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50"/>
      <c r="I686" s="50"/>
      <c r="J686" s="50"/>
      <c r="K686" s="51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50"/>
      <c r="I687" s="50"/>
      <c r="J687" s="50"/>
      <c r="K687" s="51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50"/>
      <c r="I688" s="50"/>
      <c r="J688" s="50"/>
      <c r="K688" s="51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50"/>
      <c r="I689" s="50"/>
      <c r="J689" s="50"/>
      <c r="K689" s="51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50"/>
      <c r="I690" s="50"/>
      <c r="J690" s="50"/>
      <c r="K690" s="51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50"/>
      <c r="I691" s="50"/>
      <c r="J691" s="50"/>
      <c r="K691" s="51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50"/>
      <c r="I692" s="50"/>
      <c r="J692" s="50"/>
      <c r="K692" s="51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50"/>
      <c r="I693" s="50"/>
      <c r="J693" s="50"/>
      <c r="K693" s="51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50"/>
      <c r="I694" s="50"/>
      <c r="J694" s="50"/>
      <c r="K694" s="51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50"/>
      <c r="I695" s="50"/>
      <c r="J695" s="50"/>
      <c r="K695" s="51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50"/>
      <c r="I696" s="50"/>
      <c r="J696" s="50"/>
      <c r="K696" s="51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50"/>
      <c r="I697" s="50"/>
      <c r="J697" s="50"/>
      <c r="K697" s="51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50"/>
      <c r="I698" s="50"/>
      <c r="J698" s="50"/>
      <c r="K698" s="51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50"/>
      <c r="I699" s="50"/>
      <c r="J699" s="50"/>
      <c r="K699" s="51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50"/>
      <c r="I700" s="50"/>
      <c r="J700" s="50"/>
      <c r="K700" s="51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50"/>
      <c r="I701" s="50"/>
      <c r="J701" s="50"/>
      <c r="K701" s="51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50"/>
      <c r="I702" s="50"/>
      <c r="J702" s="50"/>
      <c r="K702" s="51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50"/>
      <c r="I703" s="50"/>
      <c r="J703" s="50"/>
      <c r="K703" s="51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50"/>
      <c r="I704" s="50"/>
      <c r="J704" s="50"/>
      <c r="K704" s="51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50"/>
      <c r="I705" s="50"/>
      <c r="J705" s="50"/>
      <c r="K705" s="51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50"/>
      <c r="I706" s="50"/>
      <c r="J706" s="50"/>
      <c r="K706" s="51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50"/>
      <c r="I707" s="50"/>
      <c r="J707" s="50"/>
      <c r="K707" s="51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50"/>
      <c r="I708" s="50"/>
      <c r="J708" s="50"/>
      <c r="K708" s="51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50"/>
      <c r="I709" s="50"/>
      <c r="J709" s="50"/>
      <c r="K709" s="51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50"/>
      <c r="I710" s="50"/>
      <c r="J710" s="50"/>
      <c r="K710" s="51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50"/>
      <c r="I711" s="50"/>
      <c r="J711" s="50"/>
      <c r="K711" s="51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50"/>
      <c r="I712" s="50"/>
      <c r="J712" s="50"/>
      <c r="K712" s="51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50"/>
      <c r="I713" s="50"/>
      <c r="J713" s="50"/>
      <c r="K713" s="51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50"/>
      <c r="I714" s="50"/>
      <c r="J714" s="50"/>
      <c r="K714" s="51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50"/>
      <c r="I715" s="50"/>
      <c r="J715" s="50"/>
      <c r="K715" s="51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50"/>
      <c r="I716" s="50"/>
      <c r="J716" s="50"/>
      <c r="K716" s="51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50"/>
      <c r="I717" s="50"/>
      <c r="J717" s="50"/>
      <c r="K717" s="51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50"/>
      <c r="I718" s="50"/>
      <c r="J718" s="50"/>
      <c r="K718" s="51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50"/>
      <c r="I719" s="50"/>
      <c r="J719" s="50"/>
      <c r="K719" s="51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50"/>
      <c r="I720" s="50"/>
      <c r="J720" s="50"/>
      <c r="K720" s="51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50"/>
      <c r="I721" s="50"/>
      <c r="J721" s="50"/>
      <c r="K721" s="51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50"/>
      <c r="I722" s="50"/>
      <c r="J722" s="50"/>
      <c r="K722" s="51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50"/>
      <c r="I723" s="50"/>
      <c r="J723" s="50"/>
      <c r="K723" s="51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50"/>
      <c r="I724" s="50"/>
      <c r="J724" s="50"/>
      <c r="K724" s="51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50"/>
      <c r="I725" s="50"/>
      <c r="J725" s="50"/>
      <c r="K725" s="51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50"/>
      <c r="I726" s="50"/>
      <c r="J726" s="50"/>
      <c r="K726" s="51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50"/>
      <c r="I727" s="50"/>
      <c r="J727" s="50"/>
      <c r="K727" s="51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50"/>
      <c r="I728" s="50"/>
      <c r="J728" s="50"/>
      <c r="K728" s="51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50"/>
      <c r="I729" s="50"/>
      <c r="J729" s="50"/>
      <c r="K729" s="51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50"/>
      <c r="I730" s="50"/>
      <c r="J730" s="50"/>
      <c r="K730" s="51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50"/>
      <c r="I731" s="50"/>
      <c r="J731" s="50"/>
      <c r="K731" s="51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50"/>
      <c r="I732" s="50"/>
      <c r="J732" s="50"/>
      <c r="K732" s="51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50"/>
      <c r="I733" s="50"/>
      <c r="J733" s="50"/>
      <c r="K733" s="51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50"/>
      <c r="I734" s="50"/>
      <c r="J734" s="50"/>
      <c r="K734" s="51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50"/>
      <c r="I735" s="50"/>
      <c r="J735" s="50"/>
      <c r="K735" s="51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50"/>
      <c r="I736" s="50"/>
      <c r="J736" s="50"/>
      <c r="K736" s="51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50"/>
      <c r="I737" s="50"/>
      <c r="J737" s="50"/>
      <c r="K737" s="51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50"/>
      <c r="I738" s="50"/>
      <c r="J738" s="50"/>
      <c r="K738" s="51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50"/>
      <c r="I739" s="50"/>
      <c r="J739" s="50"/>
      <c r="K739" s="51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50"/>
      <c r="I740" s="50"/>
      <c r="J740" s="50"/>
      <c r="K740" s="51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50"/>
      <c r="I741" s="50"/>
      <c r="J741" s="50"/>
      <c r="K741" s="51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50"/>
      <c r="I742" s="50"/>
      <c r="J742" s="50"/>
      <c r="K742" s="51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50"/>
      <c r="I743" s="50"/>
      <c r="J743" s="50"/>
      <c r="K743" s="51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50"/>
      <c r="I744" s="50"/>
      <c r="J744" s="50"/>
      <c r="K744" s="51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50"/>
      <c r="I745" s="50"/>
      <c r="J745" s="50"/>
      <c r="K745" s="51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50"/>
      <c r="I746" s="50"/>
      <c r="J746" s="50"/>
      <c r="K746" s="51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50"/>
      <c r="I747" s="50"/>
      <c r="J747" s="50"/>
      <c r="K747" s="51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50"/>
      <c r="I748" s="50"/>
      <c r="J748" s="50"/>
      <c r="K748" s="51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50"/>
      <c r="I749" s="50"/>
      <c r="J749" s="50"/>
      <c r="K749" s="51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50"/>
      <c r="I750" s="50"/>
      <c r="J750" s="50"/>
      <c r="K750" s="51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50"/>
      <c r="I751" s="50"/>
      <c r="J751" s="50"/>
      <c r="K751" s="51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50"/>
      <c r="I752" s="50"/>
      <c r="J752" s="50"/>
      <c r="K752" s="51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50"/>
      <c r="I753" s="50"/>
      <c r="J753" s="50"/>
      <c r="K753" s="51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50"/>
      <c r="I754" s="50"/>
      <c r="J754" s="50"/>
      <c r="K754" s="51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50"/>
      <c r="I755" s="50"/>
      <c r="J755" s="50"/>
      <c r="K755" s="51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50"/>
      <c r="I756" s="50"/>
      <c r="J756" s="50"/>
      <c r="K756" s="51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50"/>
      <c r="I757" s="50"/>
      <c r="J757" s="50"/>
      <c r="K757" s="51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50"/>
      <c r="I758" s="50"/>
      <c r="J758" s="50"/>
      <c r="K758" s="51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50"/>
      <c r="I759" s="50"/>
      <c r="J759" s="50"/>
      <c r="K759" s="51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50"/>
      <c r="I760" s="50"/>
      <c r="J760" s="50"/>
      <c r="K760" s="51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50"/>
      <c r="I761" s="50"/>
      <c r="J761" s="50"/>
      <c r="K761" s="51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50"/>
      <c r="I762" s="50"/>
      <c r="J762" s="50"/>
      <c r="K762" s="51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50"/>
      <c r="I763" s="50"/>
      <c r="J763" s="50"/>
      <c r="K763" s="51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50"/>
      <c r="I764" s="50"/>
      <c r="J764" s="50"/>
      <c r="K764" s="51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50"/>
      <c r="I765" s="50"/>
      <c r="J765" s="50"/>
      <c r="K765" s="51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50"/>
      <c r="I766" s="50"/>
      <c r="J766" s="50"/>
      <c r="K766" s="51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50"/>
      <c r="I767" s="50"/>
      <c r="J767" s="50"/>
      <c r="K767" s="51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50"/>
      <c r="I768" s="50"/>
      <c r="J768" s="50"/>
      <c r="K768" s="51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50"/>
      <c r="I769" s="50"/>
      <c r="J769" s="50"/>
      <c r="K769" s="51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50"/>
      <c r="I770" s="50"/>
      <c r="J770" s="50"/>
      <c r="K770" s="51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50"/>
      <c r="I771" s="50"/>
      <c r="J771" s="50"/>
      <c r="K771" s="51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50"/>
      <c r="I772" s="50"/>
      <c r="J772" s="50"/>
      <c r="K772" s="51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50"/>
      <c r="I773" s="50"/>
      <c r="J773" s="50"/>
      <c r="K773" s="51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50"/>
      <c r="I774" s="50"/>
      <c r="J774" s="50"/>
      <c r="K774" s="51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50"/>
      <c r="I775" s="50"/>
      <c r="J775" s="50"/>
      <c r="K775" s="51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50"/>
      <c r="I776" s="50"/>
      <c r="J776" s="50"/>
      <c r="K776" s="51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50"/>
      <c r="I777" s="50"/>
      <c r="J777" s="50"/>
      <c r="K777" s="51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50"/>
      <c r="I778" s="50"/>
      <c r="J778" s="50"/>
      <c r="K778" s="51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50"/>
      <c r="I779" s="50"/>
      <c r="J779" s="50"/>
      <c r="K779" s="51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50"/>
      <c r="I780" s="50"/>
      <c r="J780" s="50"/>
      <c r="K780" s="51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50"/>
      <c r="I781" s="50"/>
      <c r="J781" s="50"/>
      <c r="K781" s="51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50"/>
      <c r="I782" s="50"/>
      <c r="J782" s="50"/>
      <c r="K782" s="51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50"/>
      <c r="I783" s="50"/>
      <c r="J783" s="50"/>
      <c r="K783" s="51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50"/>
      <c r="I784" s="50"/>
      <c r="J784" s="50"/>
      <c r="K784" s="51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50"/>
      <c r="I785" s="50"/>
      <c r="J785" s="50"/>
      <c r="K785" s="51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50"/>
      <c r="I786" s="50"/>
      <c r="J786" s="50"/>
      <c r="K786" s="51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50"/>
      <c r="I787" s="50"/>
      <c r="J787" s="50"/>
      <c r="K787" s="51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50"/>
      <c r="I788" s="50"/>
      <c r="J788" s="50"/>
      <c r="K788" s="51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50"/>
      <c r="I789" s="50"/>
      <c r="J789" s="50"/>
      <c r="K789" s="51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50"/>
      <c r="I790" s="50"/>
      <c r="J790" s="50"/>
      <c r="K790" s="51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50"/>
      <c r="I791" s="50"/>
      <c r="J791" s="50"/>
      <c r="K791" s="51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50"/>
      <c r="I792" s="50"/>
      <c r="J792" s="50"/>
      <c r="K792" s="51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50"/>
      <c r="I793" s="50"/>
      <c r="J793" s="50"/>
      <c r="K793" s="51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50"/>
      <c r="I794" s="50"/>
      <c r="J794" s="50"/>
      <c r="K794" s="51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50"/>
      <c r="I795" s="50"/>
      <c r="J795" s="50"/>
      <c r="K795" s="51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50"/>
      <c r="I796" s="50"/>
      <c r="J796" s="50"/>
      <c r="K796" s="51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50"/>
      <c r="I797" s="50"/>
      <c r="J797" s="50"/>
      <c r="K797" s="51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50"/>
      <c r="I798" s="50"/>
      <c r="J798" s="50"/>
      <c r="K798" s="51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50"/>
      <c r="I799" s="50"/>
      <c r="J799" s="50"/>
      <c r="K799" s="51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50"/>
      <c r="I800" s="50"/>
      <c r="J800" s="50"/>
      <c r="K800" s="51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50"/>
      <c r="I801" s="50"/>
      <c r="J801" s="50"/>
      <c r="K801" s="51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50"/>
      <c r="I802" s="50"/>
      <c r="J802" s="50"/>
      <c r="K802" s="51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50"/>
      <c r="I803" s="50"/>
      <c r="J803" s="50"/>
      <c r="K803" s="51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50"/>
      <c r="I804" s="50"/>
      <c r="J804" s="50"/>
      <c r="K804" s="51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50"/>
      <c r="I805" s="50"/>
      <c r="J805" s="50"/>
      <c r="K805" s="51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50"/>
      <c r="I806" s="50"/>
      <c r="J806" s="50"/>
      <c r="K806" s="51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50"/>
      <c r="I807" s="50"/>
      <c r="J807" s="50"/>
      <c r="K807" s="51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50"/>
      <c r="I808" s="50"/>
      <c r="J808" s="50"/>
      <c r="K808" s="51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50"/>
      <c r="I809" s="50"/>
      <c r="J809" s="50"/>
      <c r="K809" s="51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50"/>
      <c r="I810" s="50"/>
      <c r="J810" s="50"/>
      <c r="K810" s="51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50"/>
      <c r="I811" s="50"/>
      <c r="J811" s="50"/>
      <c r="K811" s="51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50"/>
      <c r="I812" s="50"/>
      <c r="J812" s="50"/>
      <c r="K812" s="51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50"/>
      <c r="I813" s="50"/>
      <c r="J813" s="50"/>
      <c r="K813" s="51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50"/>
      <c r="I814" s="50"/>
      <c r="J814" s="50"/>
      <c r="K814" s="51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50"/>
      <c r="I815" s="50"/>
      <c r="J815" s="50"/>
      <c r="K815" s="51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50"/>
      <c r="I816" s="50"/>
      <c r="J816" s="50"/>
      <c r="K816" s="51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50"/>
      <c r="I817" s="50"/>
      <c r="J817" s="50"/>
      <c r="K817" s="51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50"/>
      <c r="I818" s="50"/>
      <c r="J818" s="50"/>
      <c r="K818" s="51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50"/>
      <c r="I819" s="50"/>
      <c r="J819" s="50"/>
      <c r="K819" s="51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50"/>
      <c r="I820" s="50"/>
      <c r="J820" s="50"/>
      <c r="K820" s="51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50"/>
      <c r="I821" s="50"/>
      <c r="J821" s="50"/>
      <c r="K821" s="51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50"/>
      <c r="I822" s="50"/>
      <c r="J822" s="50"/>
      <c r="K822" s="51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50"/>
      <c r="I823" s="50"/>
      <c r="J823" s="50"/>
      <c r="K823" s="51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50"/>
      <c r="I824" s="50"/>
      <c r="J824" s="50"/>
      <c r="K824" s="51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50"/>
      <c r="I825" s="50"/>
      <c r="J825" s="50"/>
      <c r="K825" s="51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50"/>
      <c r="I826" s="50"/>
      <c r="J826" s="50"/>
      <c r="K826" s="51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50"/>
      <c r="I827" s="50"/>
      <c r="J827" s="50"/>
      <c r="K827" s="51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50"/>
      <c r="I828" s="50"/>
      <c r="J828" s="50"/>
      <c r="K828" s="51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50"/>
      <c r="I829" s="50"/>
      <c r="J829" s="50"/>
      <c r="K829" s="51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50"/>
      <c r="I830" s="50"/>
      <c r="J830" s="50"/>
      <c r="K830" s="51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50"/>
      <c r="I831" s="50"/>
      <c r="J831" s="50"/>
      <c r="K831" s="51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50"/>
      <c r="I832" s="50"/>
      <c r="J832" s="50"/>
      <c r="K832" s="51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50"/>
      <c r="I833" s="50"/>
      <c r="J833" s="50"/>
      <c r="K833" s="51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50"/>
      <c r="I834" s="50"/>
      <c r="J834" s="50"/>
      <c r="K834" s="51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50"/>
      <c r="I835" s="50"/>
      <c r="J835" s="50"/>
      <c r="K835" s="51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50"/>
      <c r="I836" s="50"/>
      <c r="J836" s="50"/>
      <c r="K836" s="51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50"/>
      <c r="I837" s="50"/>
      <c r="J837" s="50"/>
      <c r="K837" s="51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50"/>
      <c r="I838" s="50"/>
      <c r="J838" s="50"/>
      <c r="K838" s="51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50"/>
      <c r="I839" s="50"/>
      <c r="J839" s="50"/>
      <c r="K839" s="51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50"/>
      <c r="I840" s="50"/>
      <c r="J840" s="50"/>
      <c r="K840" s="51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50"/>
      <c r="I841" s="50"/>
      <c r="J841" s="50"/>
      <c r="K841" s="51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50"/>
      <c r="I842" s="50"/>
      <c r="J842" s="50"/>
      <c r="K842" s="51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50"/>
      <c r="I843" s="50"/>
      <c r="J843" s="50"/>
      <c r="K843" s="51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50"/>
      <c r="I844" s="50"/>
      <c r="J844" s="50"/>
      <c r="K844" s="51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50"/>
      <c r="I845" s="50"/>
      <c r="J845" s="50"/>
      <c r="K845" s="51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50"/>
      <c r="I846" s="50"/>
      <c r="J846" s="50"/>
      <c r="K846" s="51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50"/>
      <c r="I847" s="50"/>
      <c r="J847" s="50"/>
      <c r="K847" s="51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50"/>
      <c r="I848" s="50"/>
      <c r="J848" s="50"/>
      <c r="K848" s="51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50"/>
      <c r="I849" s="50"/>
      <c r="J849" s="50"/>
      <c r="K849" s="51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50"/>
      <c r="I850" s="50"/>
      <c r="J850" s="50"/>
      <c r="K850" s="51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50"/>
      <c r="I851" s="50"/>
      <c r="J851" s="50"/>
      <c r="K851" s="51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50"/>
      <c r="I852" s="50"/>
      <c r="J852" s="50"/>
      <c r="K852" s="51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50"/>
      <c r="I853" s="50"/>
      <c r="J853" s="50"/>
      <c r="K853" s="51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50"/>
      <c r="I854" s="50"/>
      <c r="J854" s="50"/>
      <c r="K854" s="51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50"/>
      <c r="I855" s="50"/>
      <c r="J855" s="50"/>
      <c r="K855" s="51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50"/>
      <c r="I856" s="50"/>
      <c r="J856" s="50"/>
      <c r="K856" s="51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50"/>
      <c r="I857" s="50"/>
      <c r="J857" s="50"/>
      <c r="K857" s="51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50"/>
      <c r="I858" s="50"/>
      <c r="J858" s="50"/>
      <c r="K858" s="51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50"/>
      <c r="I859" s="50"/>
      <c r="J859" s="50"/>
      <c r="K859" s="51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50"/>
      <c r="I860" s="50"/>
      <c r="J860" s="50"/>
      <c r="K860" s="51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50"/>
      <c r="I861" s="50"/>
      <c r="J861" s="50"/>
      <c r="K861" s="51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50"/>
      <c r="I862" s="50"/>
      <c r="J862" s="50"/>
      <c r="K862" s="51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50"/>
      <c r="I863" s="50"/>
      <c r="J863" s="50"/>
      <c r="K863" s="51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50"/>
      <c r="I864" s="50"/>
      <c r="J864" s="50"/>
      <c r="K864" s="51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50"/>
      <c r="I865" s="50"/>
      <c r="J865" s="50"/>
      <c r="K865" s="51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50"/>
      <c r="I866" s="50"/>
      <c r="J866" s="50"/>
      <c r="K866" s="51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50"/>
      <c r="I867" s="50"/>
      <c r="J867" s="50"/>
      <c r="K867" s="51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50"/>
      <c r="I868" s="50"/>
      <c r="J868" s="50"/>
      <c r="K868" s="51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50"/>
      <c r="I869" s="50"/>
      <c r="J869" s="50"/>
      <c r="K869" s="51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50"/>
      <c r="I870" s="50"/>
      <c r="J870" s="50"/>
      <c r="K870" s="51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50"/>
      <c r="I871" s="50"/>
      <c r="J871" s="50"/>
      <c r="K871" s="51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50"/>
      <c r="I872" s="50"/>
      <c r="J872" s="50"/>
      <c r="K872" s="51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50"/>
      <c r="I873" s="50"/>
      <c r="J873" s="50"/>
      <c r="K873" s="51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50"/>
      <c r="I874" s="50"/>
      <c r="J874" s="50"/>
      <c r="K874" s="51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50"/>
      <c r="I875" s="50"/>
      <c r="J875" s="50"/>
      <c r="K875" s="51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50"/>
      <c r="I876" s="50"/>
      <c r="J876" s="50"/>
      <c r="K876" s="51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50"/>
      <c r="I877" s="50"/>
      <c r="J877" s="50"/>
      <c r="K877" s="51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50"/>
      <c r="I878" s="50"/>
      <c r="J878" s="50"/>
      <c r="K878" s="51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50"/>
      <c r="I879" s="50"/>
      <c r="J879" s="50"/>
      <c r="K879" s="51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50"/>
      <c r="I880" s="50"/>
      <c r="J880" s="50"/>
      <c r="K880" s="51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50"/>
      <c r="I881" s="50"/>
      <c r="J881" s="50"/>
      <c r="K881" s="51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50"/>
      <c r="I882" s="50"/>
      <c r="J882" s="50"/>
      <c r="K882" s="51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50"/>
      <c r="I883" s="50"/>
      <c r="J883" s="50"/>
      <c r="K883" s="51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50"/>
      <c r="I884" s="50"/>
      <c r="J884" s="50"/>
      <c r="K884" s="51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50"/>
      <c r="I885" s="50"/>
      <c r="J885" s="50"/>
      <c r="K885" s="51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50"/>
      <c r="I886" s="50"/>
      <c r="J886" s="50"/>
      <c r="K886" s="51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50"/>
      <c r="I887" s="50"/>
      <c r="J887" s="50"/>
      <c r="K887" s="51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50"/>
      <c r="I888" s="50"/>
      <c r="J888" s="50"/>
      <c r="K888" s="51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50"/>
      <c r="I889" s="50"/>
      <c r="J889" s="50"/>
      <c r="K889" s="51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50"/>
      <c r="I890" s="50"/>
      <c r="J890" s="50"/>
      <c r="K890" s="51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50"/>
      <c r="I891" s="50"/>
      <c r="J891" s="50"/>
      <c r="K891" s="51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50"/>
      <c r="I892" s="50"/>
      <c r="J892" s="50"/>
      <c r="K892" s="51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50"/>
      <c r="I893" s="50"/>
      <c r="J893" s="50"/>
      <c r="K893" s="51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50"/>
      <c r="I894" s="50"/>
      <c r="J894" s="50"/>
      <c r="K894" s="51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50"/>
      <c r="I895" s="50"/>
      <c r="J895" s="50"/>
      <c r="K895" s="51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50"/>
      <c r="I896" s="50"/>
      <c r="J896" s="50"/>
      <c r="K896" s="51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50"/>
      <c r="I897" s="50"/>
      <c r="J897" s="50"/>
      <c r="K897" s="51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50"/>
      <c r="I898" s="50"/>
      <c r="J898" s="50"/>
      <c r="K898" s="51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50"/>
      <c r="I899" s="50"/>
      <c r="J899" s="50"/>
      <c r="K899" s="51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50"/>
      <c r="I900" s="50"/>
      <c r="J900" s="50"/>
      <c r="K900" s="51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50"/>
      <c r="I901" s="50"/>
      <c r="J901" s="50"/>
      <c r="K901" s="51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50"/>
      <c r="I902" s="50"/>
      <c r="J902" s="50"/>
      <c r="K902" s="51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50"/>
      <c r="I903" s="50"/>
      <c r="J903" s="50"/>
      <c r="K903" s="51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50"/>
      <c r="I904" s="50"/>
      <c r="J904" s="50"/>
      <c r="K904" s="51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50"/>
      <c r="I905" s="50"/>
      <c r="J905" s="50"/>
      <c r="K905" s="51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50"/>
      <c r="I906" s="50"/>
      <c r="J906" s="50"/>
      <c r="K906" s="51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50"/>
      <c r="I907" s="50"/>
      <c r="J907" s="50"/>
      <c r="K907" s="51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50"/>
      <c r="I908" s="50"/>
      <c r="J908" s="50"/>
      <c r="K908" s="51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50"/>
      <c r="I909" s="50"/>
      <c r="J909" s="50"/>
      <c r="K909" s="51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50"/>
      <c r="I910" s="50"/>
      <c r="J910" s="50"/>
      <c r="K910" s="51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50"/>
      <c r="I911" s="50"/>
      <c r="J911" s="50"/>
      <c r="K911" s="51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50"/>
      <c r="I912" s="50"/>
      <c r="J912" s="50"/>
      <c r="K912" s="51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50"/>
      <c r="I913" s="50"/>
      <c r="J913" s="50"/>
      <c r="K913" s="51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50"/>
      <c r="I914" s="50"/>
      <c r="J914" s="50"/>
      <c r="K914" s="51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50"/>
      <c r="I915" s="50"/>
      <c r="J915" s="50"/>
      <c r="K915" s="51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50"/>
      <c r="I916" s="50"/>
      <c r="J916" s="50"/>
      <c r="K916" s="51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50"/>
      <c r="I917" s="50"/>
      <c r="J917" s="50"/>
      <c r="K917" s="51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50"/>
      <c r="I918" s="50"/>
      <c r="J918" s="50"/>
      <c r="K918" s="51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50"/>
      <c r="I919" s="50"/>
      <c r="J919" s="50"/>
      <c r="K919" s="51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50"/>
      <c r="I920" s="50"/>
      <c r="J920" s="50"/>
      <c r="K920" s="51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50"/>
      <c r="I921" s="50"/>
      <c r="J921" s="50"/>
      <c r="K921" s="51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50"/>
      <c r="I922" s="50"/>
      <c r="J922" s="50"/>
      <c r="K922" s="51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50"/>
      <c r="I923" s="50"/>
      <c r="J923" s="50"/>
      <c r="K923" s="51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50"/>
      <c r="I924" s="50"/>
      <c r="J924" s="50"/>
      <c r="K924" s="51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50"/>
      <c r="I925" s="50"/>
      <c r="J925" s="50"/>
      <c r="K925" s="51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50"/>
      <c r="I926" s="50"/>
      <c r="J926" s="50"/>
      <c r="K926" s="51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50"/>
      <c r="I927" s="50"/>
      <c r="J927" s="50"/>
      <c r="K927" s="51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50"/>
      <c r="I928" s="50"/>
      <c r="J928" s="50"/>
      <c r="K928" s="51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50"/>
      <c r="I929" s="50"/>
      <c r="J929" s="50"/>
      <c r="K929" s="51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50"/>
      <c r="I930" s="50"/>
      <c r="J930" s="50"/>
      <c r="K930" s="51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50"/>
      <c r="I931" s="50"/>
      <c r="J931" s="50"/>
      <c r="K931" s="51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50"/>
      <c r="I932" s="50"/>
      <c r="J932" s="50"/>
      <c r="K932" s="51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50"/>
      <c r="I933" s="50"/>
      <c r="J933" s="50"/>
      <c r="K933" s="51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50"/>
      <c r="I934" s="50"/>
      <c r="J934" s="50"/>
      <c r="K934" s="51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50"/>
      <c r="I935" s="50"/>
      <c r="J935" s="50"/>
      <c r="K935" s="51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50"/>
      <c r="I936" s="50"/>
      <c r="J936" s="50"/>
      <c r="K936" s="51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50"/>
      <c r="I937" s="50"/>
      <c r="J937" s="50"/>
      <c r="K937" s="51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50"/>
      <c r="I938" s="50"/>
      <c r="J938" s="50"/>
      <c r="K938" s="51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50"/>
      <c r="I939" s="50"/>
      <c r="J939" s="50"/>
      <c r="K939" s="51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50"/>
      <c r="I940" s="50"/>
      <c r="J940" s="50"/>
      <c r="K940" s="51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50"/>
      <c r="I941" s="50"/>
      <c r="J941" s="50"/>
      <c r="K941" s="51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50"/>
      <c r="I942" s="50"/>
      <c r="J942" s="50"/>
      <c r="K942" s="51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50"/>
      <c r="I943" s="50"/>
      <c r="J943" s="50"/>
      <c r="K943" s="51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50"/>
      <c r="I944" s="50"/>
      <c r="J944" s="50"/>
      <c r="K944" s="51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50"/>
      <c r="I945" s="50"/>
      <c r="J945" s="50"/>
      <c r="K945" s="51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50"/>
      <c r="I946" s="50"/>
      <c r="J946" s="50"/>
      <c r="K946" s="51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50"/>
      <c r="I947" s="50"/>
      <c r="J947" s="50"/>
      <c r="K947" s="51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50"/>
      <c r="I948" s="50"/>
      <c r="J948" s="50"/>
      <c r="K948" s="51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50"/>
      <c r="I949" s="50"/>
      <c r="J949" s="50"/>
      <c r="K949" s="51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50"/>
      <c r="I950" s="50"/>
      <c r="J950" s="50"/>
      <c r="K950" s="51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50"/>
      <c r="I951" s="50"/>
      <c r="J951" s="50"/>
      <c r="K951" s="51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50"/>
      <c r="I952" s="50"/>
      <c r="J952" s="50"/>
      <c r="K952" s="51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50"/>
      <c r="I953" s="50"/>
      <c r="J953" s="50"/>
      <c r="K953" s="51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50"/>
      <c r="I954" s="50"/>
      <c r="J954" s="50"/>
      <c r="K954" s="51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50"/>
      <c r="I955" s="50"/>
      <c r="J955" s="50"/>
      <c r="K955" s="51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50"/>
      <c r="I956" s="50"/>
      <c r="J956" s="50"/>
      <c r="K956" s="51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50"/>
      <c r="I957" s="50"/>
      <c r="J957" s="50"/>
      <c r="K957" s="51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50"/>
      <c r="I958" s="50"/>
      <c r="J958" s="50"/>
      <c r="K958" s="51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50"/>
      <c r="I959" s="50"/>
      <c r="J959" s="50"/>
      <c r="K959" s="51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50"/>
      <c r="I960" s="50"/>
      <c r="J960" s="50"/>
      <c r="K960" s="51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50"/>
      <c r="I961" s="50"/>
      <c r="J961" s="50"/>
      <c r="K961" s="51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50"/>
      <c r="I962" s="50"/>
      <c r="J962" s="50"/>
      <c r="K962" s="51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50"/>
      <c r="I963" s="50"/>
      <c r="J963" s="50"/>
      <c r="K963" s="51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50"/>
      <c r="I964" s="50"/>
      <c r="J964" s="50"/>
      <c r="K964" s="51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50"/>
      <c r="I965" s="50"/>
      <c r="J965" s="50"/>
      <c r="K965" s="51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50"/>
      <c r="I966" s="50"/>
      <c r="J966" s="50"/>
      <c r="K966" s="51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50"/>
      <c r="I967" s="50"/>
      <c r="J967" s="50"/>
      <c r="K967" s="51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50"/>
      <c r="I968" s="50"/>
      <c r="J968" s="50"/>
      <c r="K968" s="51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50"/>
      <c r="I969" s="50"/>
      <c r="J969" s="50"/>
      <c r="K969" s="51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50"/>
      <c r="I970" s="50"/>
      <c r="J970" s="50"/>
      <c r="K970" s="51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50"/>
      <c r="I971" s="50"/>
      <c r="J971" s="50"/>
      <c r="K971" s="51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50"/>
      <c r="I972" s="50"/>
      <c r="J972" s="50"/>
      <c r="K972" s="51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50"/>
      <c r="I973" s="50"/>
      <c r="J973" s="50"/>
      <c r="K973" s="51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50"/>
      <c r="I974" s="50"/>
      <c r="J974" s="50"/>
      <c r="K974" s="51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50"/>
      <c r="I975" s="50"/>
      <c r="J975" s="50"/>
      <c r="K975" s="51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50"/>
      <c r="I976" s="50"/>
      <c r="J976" s="50"/>
      <c r="K976" s="51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50"/>
      <c r="I977" s="50"/>
      <c r="J977" s="50"/>
      <c r="K977" s="51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50"/>
      <c r="I978" s="50"/>
      <c r="J978" s="50"/>
      <c r="K978" s="51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50"/>
      <c r="I979" s="50"/>
      <c r="J979" s="50"/>
      <c r="K979" s="51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50"/>
      <c r="I980" s="50"/>
      <c r="J980" s="50"/>
      <c r="K980" s="51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50"/>
      <c r="I981" s="50"/>
      <c r="J981" s="50"/>
      <c r="K981" s="51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50"/>
      <c r="I982" s="50"/>
      <c r="J982" s="50"/>
      <c r="K982" s="51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50"/>
      <c r="I983" s="50"/>
      <c r="J983" s="50"/>
      <c r="K983" s="51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50"/>
      <c r="I984" s="50"/>
      <c r="J984" s="50"/>
      <c r="K984" s="51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50"/>
      <c r="I985" s="50"/>
      <c r="J985" s="50"/>
      <c r="K985" s="51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50"/>
      <c r="I986" s="50"/>
      <c r="J986" s="50"/>
      <c r="K986" s="51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50"/>
      <c r="I987" s="50"/>
      <c r="J987" s="50"/>
      <c r="K987" s="51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50"/>
      <c r="I988" s="50"/>
      <c r="J988" s="50"/>
      <c r="K988" s="51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50"/>
      <c r="I989" s="50"/>
      <c r="J989" s="50"/>
      <c r="K989" s="51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50"/>
      <c r="I990" s="50"/>
      <c r="J990" s="50"/>
      <c r="K990" s="51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50"/>
      <c r="I991" s="50"/>
      <c r="J991" s="50"/>
      <c r="K991" s="51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</sheetData>
  <mergeCells count="21">
    <mergeCell ref="A10:A11"/>
    <mergeCell ref="A12:A14"/>
    <mergeCell ref="A15:A18"/>
    <mergeCell ref="B10:B11"/>
    <mergeCell ref="A6:K6"/>
    <mergeCell ref="M6:N6"/>
    <mergeCell ref="M7:N7"/>
    <mergeCell ref="M15:N15"/>
    <mergeCell ref="B12:B13"/>
    <mergeCell ref="A40:A44"/>
    <mergeCell ref="B40:B44"/>
    <mergeCell ref="B17:B18"/>
    <mergeCell ref="B15:B16"/>
    <mergeCell ref="A19:A20"/>
    <mergeCell ref="B19:B20"/>
    <mergeCell ref="A27:A32"/>
    <mergeCell ref="A8:A9"/>
    <mergeCell ref="B8:B9"/>
    <mergeCell ref="A24:K24"/>
    <mergeCell ref="B27:B32"/>
    <mergeCell ref="A37:K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71"/>
    <col customWidth="1" min="3" max="3" width="44.14"/>
    <col customWidth="1" min="4" max="4" width="13.86"/>
    <col customWidth="1" min="5" max="7" width="10.71"/>
    <col customWidth="1" min="9" max="9" width="15.14"/>
    <col customWidth="1" min="10" max="10" width="13.0"/>
    <col customWidth="1" min="11" max="11" width="17.57"/>
    <col customWidth="1" min="12" max="16" width="10.71"/>
    <col customWidth="1" min="17" max="17" width="14.71"/>
    <col customWidth="1" min="18" max="28" width="10.71"/>
  </cols>
  <sheetData>
    <row r="1">
      <c r="A1" s="49"/>
      <c r="B1" s="49"/>
      <c r="C1" s="49"/>
      <c r="D1" s="49"/>
      <c r="E1" s="49"/>
      <c r="F1" s="49"/>
      <c r="G1" s="49"/>
      <c r="H1" s="50"/>
      <c r="I1" s="50"/>
      <c r="J1" s="50"/>
      <c r="K1" s="51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ht="36.0" customHeight="1">
      <c r="A2" s="52" t="s">
        <v>68</v>
      </c>
      <c r="B2" s="208">
        <v>5000.0</v>
      </c>
      <c r="C2" s="54" t="s">
        <v>69</v>
      </c>
      <c r="D2" s="208">
        <v>44.0</v>
      </c>
      <c r="E2" s="49"/>
      <c r="F2" s="49"/>
      <c r="G2" s="49"/>
      <c r="H2" s="50" t="s">
        <v>70</v>
      </c>
      <c r="I2" s="50">
        <f>K13+K21+K32</f>
        <v>76.31230769</v>
      </c>
      <c r="J2" s="50"/>
      <c r="K2" s="51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49"/>
      <c r="B3" s="49"/>
      <c r="C3" s="49"/>
      <c r="D3" s="49"/>
      <c r="E3" s="49"/>
      <c r="F3" s="49"/>
      <c r="G3" s="49"/>
      <c r="H3" s="50"/>
      <c r="I3" s="50"/>
      <c r="J3" s="50"/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ht="25.5" customHeight="1">
      <c r="A4" s="54" t="s">
        <v>71</v>
      </c>
      <c r="B4" s="59">
        <f>(D2*10000)/B2</f>
        <v>88</v>
      </c>
      <c r="C4" s="60" t="s">
        <v>72</v>
      </c>
      <c r="D4" s="49"/>
      <c r="E4" s="49"/>
      <c r="F4" s="49"/>
      <c r="G4" s="49"/>
      <c r="H4" s="49"/>
      <c r="I4" s="49">
        <f>(I2/'Costeo General'!I2)*100</f>
        <v>1.714494939</v>
      </c>
      <c r="J4" s="49" t="s">
        <v>163</v>
      </c>
      <c r="K4" s="51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>
      <c r="A6" s="61" t="s">
        <v>73</v>
      </c>
      <c r="B6" s="27"/>
      <c r="C6" s="27"/>
      <c r="D6" s="27"/>
      <c r="E6" s="27"/>
      <c r="F6" s="27"/>
      <c r="G6" s="27"/>
      <c r="H6" s="27"/>
      <c r="I6" s="27"/>
      <c r="J6" s="27"/>
      <c r="K6" s="28"/>
      <c r="L6" s="49"/>
      <c r="M6" s="62" t="s">
        <v>74</v>
      </c>
      <c r="N6" s="28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ht="31.5" customHeight="1">
      <c r="A7" s="64" t="s">
        <v>76</v>
      </c>
      <c r="B7" s="64" t="s">
        <v>77</v>
      </c>
      <c r="C7" s="64" t="s">
        <v>78</v>
      </c>
      <c r="D7" s="64" t="s">
        <v>29</v>
      </c>
      <c r="E7" s="65" t="s">
        <v>79</v>
      </c>
      <c r="F7" s="65" t="s">
        <v>179</v>
      </c>
      <c r="G7" s="64" t="s">
        <v>81</v>
      </c>
      <c r="H7" s="67" t="s">
        <v>82</v>
      </c>
      <c r="I7" s="67" t="s">
        <v>83</v>
      </c>
      <c r="J7" s="67" t="s">
        <v>84</v>
      </c>
      <c r="K7" s="211" t="s">
        <v>85</v>
      </c>
      <c r="L7" s="69"/>
      <c r="M7" s="70" t="s">
        <v>86</v>
      </c>
      <c r="N7" s="28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>
      <c r="A8" s="234">
        <v>3.0</v>
      </c>
      <c r="B8" s="235" t="s">
        <v>190</v>
      </c>
      <c r="C8" s="236" t="s">
        <v>191</v>
      </c>
      <c r="D8" s="236" t="s">
        <v>29</v>
      </c>
      <c r="E8" s="236">
        <v>1.0</v>
      </c>
      <c r="F8" s="236">
        <v>1.0</v>
      </c>
      <c r="G8" s="236">
        <v>1.0</v>
      </c>
      <c r="H8" s="236">
        <v>45.0</v>
      </c>
      <c r="I8" s="77">
        <f t="shared" ref="I8:I9" si="1">H8/$M$11</f>
        <v>13.31360947</v>
      </c>
      <c r="J8" s="143">
        <v>13.31</v>
      </c>
      <c r="K8" s="143">
        <f t="shared" ref="K8:K12" si="2">F8*G8*I8</f>
        <v>13.31360947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>
      <c r="A9" s="92"/>
      <c r="B9" s="235" t="s">
        <v>190</v>
      </c>
      <c r="C9" s="236" t="s">
        <v>192</v>
      </c>
      <c r="D9" s="236" t="s">
        <v>29</v>
      </c>
      <c r="E9" s="236">
        <v>1.0</v>
      </c>
      <c r="F9" s="236">
        <v>3.0</v>
      </c>
      <c r="G9" s="237">
        <v>1.0</v>
      </c>
      <c r="H9" s="237">
        <v>10.0</v>
      </c>
      <c r="I9" s="77">
        <f t="shared" si="1"/>
        <v>2.958579882</v>
      </c>
      <c r="J9" s="77">
        <f>I9*E9*G9</f>
        <v>2.958579882</v>
      </c>
      <c r="K9" s="143">
        <f t="shared" si="2"/>
        <v>8.875739645</v>
      </c>
      <c r="L9" s="49"/>
      <c r="M9" s="83">
        <v>1.0</v>
      </c>
      <c r="N9" s="84" t="s">
        <v>95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81"/>
      <c r="B10" s="235" t="s">
        <v>190</v>
      </c>
      <c r="C10" s="236" t="s">
        <v>109</v>
      </c>
      <c r="D10" s="236" t="s">
        <v>29</v>
      </c>
      <c r="E10" s="236">
        <v>1.0</v>
      </c>
      <c r="F10" s="236">
        <v>3.0</v>
      </c>
      <c r="G10" s="236">
        <v>1.0</v>
      </c>
      <c r="H10" s="236">
        <v>10.0</v>
      </c>
      <c r="I10" s="143">
        <v>2.96</v>
      </c>
      <c r="J10" s="143">
        <v>2.96</v>
      </c>
      <c r="K10" s="143">
        <f t="shared" si="2"/>
        <v>8.88</v>
      </c>
      <c r="L10" s="49"/>
      <c r="M10" s="83"/>
      <c r="N10" s="84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238">
        <v>4.0</v>
      </c>
      <c r="B11" s="121" t="s">
        <v>190</v>
      </c>
      <c r="C11" s="122" t="s">
        <v>193</v>
      </c>
      <c r="D11" s="122" t="s">
        <v>29</v>
      </c>
      <c r="E11" s="122">
        <v>2.0</v>
      </c>
      <c r="F11" s="122">
        <v>2.0</v>
      </c>
      <c r="G11" s="122">
        <v>1.0</v>
      </c>
      <c r="H11" s="122">
        <v>2.0</v>
      </c>
      <c r="I11" s="122">
        <v>0.59</v>
      </c>
      <c r="J11" s="122">
        <v>1.18</v>
      </c>
      <c r="K11" s="122">
        <f t="shared" si="2"/>
        <v>1.18</v>
      </c>
      <c r="L11" s="49"/>
      <c r="M11" s="83">
        <v>3.38</v>
      </c>
      <c r="N11" s="84" t="s">
        <v>194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81"/>
      <c r="B12" s="121" t="s">
        <v>190</v>
      </c>
      <c r="C12" s="122" t="s">
        <v>195</v>
      </c>
      <c r="D12" s="122" t="s">
        <v>29</v>
      </c>
      <c r="E12" s="122">
        <v>1.0</v>
      </c>
      <c r="F12" s="122">
        <v>1.0</v>
      </c>
      <c r="G12" s="122">
        <v>1.0</v>
      </c>
      <c r="H12" s="122">
        <v>1.0</v>
      </c>
      <c r="I12" s="122">
        <v>0.3</v>
      </c>
      <c r="J12" s="122">
        <v>0.3</v>
      </c>
      <c r="K12" s="122">
        <f t="shared" si="2"/>
        <v>0.3</v>
      </c>
      <c r="L12" s="49"/>
      <c r="M12" s="239"/>
      <c r="N12" s="240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>
      <c r="A13" s="241" t="s">
        <v>70</v>
      </c>
      <c r="B13" s="53" t="s">
        <v>115</v>
      </c>
      <c r="C13" s="53" t="s">
        <v>115</v>
      </c>
      <c r="D13" s="53" t="s">
        <v>115</v>
      </c>
      <c r="E13" s="53" t="s">
        <v>115</v>
      </c>
      <c r="F13" s="53"/>
      <c r="G13" s="53" t="s">
        <v>115</v>
      </c>
      <c r="H13" s="80">
        <f t="shared" ref="H13:K13" si="3">SUM(H8:H12)</f>
        <v>68</v>
      </c>
      <c r="I13" s="80">
        <f t="shared" si="3"/>
        <v>20.12218935</v>
      </c>
      <c r="J13" s="80">
        <f t="shared" si="3"/>
        <v>20.70857988</v>
      </c>
      <c r="K13" s="216">
        <f t="shared" si="3"/>
        <v>32.54934911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>
      <c r="A14" s="49"/>
      <c r="B14" s="49"/>
      <c r="C14" s="49"/>
      <c r="D14" s="49"/>
      <c r="E14" s="49"/>
      <c r="F14" s="49"/>
      <c r="G14" s="49"/>
      <c r="H14" s="50"/>
      <c r="I14" s="50"/>
      <c r="J14" s="50"/>
      <c r="K14" s="51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>
      <c r="A15" s="49"/>
      <c r="B15" s="49"/>
      <c r="C15" s="49"/>
      <c r="D15" s="49"/>
      <c r="E15" s="49"/>
      <c r="F15" s="49"/>
      <c r="G15" s="49"/>
      <c r="H15" s="50"/>
      <c r="I15" s="50"/>
      <c r="J15" s="50"/>
      <c r="K15" s="51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49"/>
      <c r="B16" s="49"/>
      <c r="C16" s="49"/>
      <c r="D16" s="49"/>
      <c r="E16" s="49"/>
      <c r="F16" s="49"/>
      <c r="G16" s="49"/>
      <c r="H16" s="50"/>
      <c r="I16" s="50"/>
      <c r="J16" s="50"/>
      <c r="K16" s="51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ht="15.75" customHeight="1">
      <c r="A17" s="61" t="s">
        <v>116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ht="31.5" customHeight="1">
      <c r="A18" s="64" t="s">
        <v>76</v>
      </c>
      <c r="B18" s="64" t="s">
        <v>77</v>
      </c>
      <c r="C18" s="64" t="s">
        <v>78</v>
      </c>
      <c r="D18" s="64" t="s">
        <v>29</v>
      </c>
      <c r="E18" s="65" t="s">
        <v>79</v>
      </c>
      <c r="F18" s="65" t="s">
        <v>179</v>
      </c>
      <c r="G18" s="64" t="s">
        <v>81</v>
      </c>
      <c r="H18" s="67" t="s">
        <v>82</v>
      </c>
      <c r="I18" s="67" t="s">
        <v>83</v>
      </c>
      <c r="J18" s="67" t="s">
        <v>84</v>
      </c>
      <c r="K18" s="211" t="s">
        <v>85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ht="15.75" customHeight="1">
      <c r="A19" s="238">
        <v>3.0</v>
      </c>
      <c r="B19" s="235" t="s">
        <v>190</v>
      </c>
      <c r="C19" s="236" t="s">
        <v>192</v>
      </c>
      <c r="D19" s="236" t="s">
        <v>29</v>
      </c>
      <c r="E19" s="237">
        <v>0.5</v>
      </c>
      <c r="F19" s="236">
        <v>3.0</v>
      </c>
      <c r="G19" s="237">
        <v>1.0</v>
      </c>
      <c r="H19" s="237">
        <v>10.0</v>
      </c>
      <c r="I19" s="77">
        <f t="shared" ref="I19:I20" si="4">H19/$M$11</f>
        <v>2.958579882</v>
      </c>
      <c r="J19" s="77">
        <f t="shared" ref="J19:J20" si="5">I19*E19*G19</f>
        <v>1.479289941</v>
      </c>
      <c r="K19" s="77">
        <f t="shared" ref="K19:K20" si="6">F19*G19*I19</f>
        <v>8.875739645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ht="15.75" customHeight="1">
      <c r="A20" s="81"/>
      <c r="B20" s="235" t="s">
        <v>190</v>
      </c>
      <c r="C20" s="236" t="s">
        <v>109</v>
      </c>
      <c r="D20" s="236" t="s">
        <v>29</v>
      </c>
      <c r="E20" s="237">
        <v>0.5</v>
      </c>
      <c r="F20" s="236">
        <v>3.0</v>
      </c>
      <c r="G20" s="237">
        <v>1.0</v>
      </c>
      <c r="H20" s="237">
        <v>10.0</v>
      </c>
      <c r="I20" s="77">
        <f t="shared" si="4"/>
        <v>2.958579882</v>
      </c>
      <c r="J20" s="77">
        <f t="shared" si="5"/>
        <v>1.479289941</v>
      </c>
      <c r="K20" s="77">
        <f t="shared" si="6"/>
        <v>8.875739645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ht="15.75" customHeight="1">
      <c r="A21" s="53" t="s">
        <v>70</v>
      </c>
      <c r="B21" s="53" t="s">
        <v>115</v>
      </c>
      <c r="C21" s="53" t="s">
        <v>115</v>
      </c>
      <c r="D21" s="53" t="s">
        <v>115</v>
      </c>
      <c r="E21" s="53" t="s">
        <v>115</v>
      </c>
      <c r="F21" s="53"/>
      <c r="G21" s="53" t="s">
        <v>115</v>
      </c>
      <c r="H21" s="80">
        <f t="shared" ref="H21:K21" si="7">SUM(H19:H20)</f>
        <v>20</v>
      </c>
      <c r="I21" s="80">
        <f t="shared" si="7"/>
        <v>5.917159763</v>
      </c>
      <c r="J21" s="80">
        <f t="shared" si="7"/>
        <v>2.958579882</v>
      </c>
      <c r="K21" s="216">
        <f t="shared" si="7"/>
        <v>17.75147929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ht="15.75" customHeight="1">
      <c r="A22" s="49"/>
      <c r="B22" s="49"/>
      <c r="C22" s="49"/>
      <c r="D22" s="49"/>
      <c r="E22" s="49"/>
      <c r="F22" s="49"/>
      <c r="G22" s="49"/>
      <c r="H22" s="50"/>
      <c r="I22" s="50"/>
      <c r="J22" s="50"/>
      <c r="K22" s="5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ht="15.75" customHeight="1">
      <c r="A23" s="49"/>
      <c r="B23" s="49"/>
      <c r="C23" s="49"/>
      <c r="D23" s="49"/>
      <c r="E23" s="49"/>
      <c r="F23" s="49"/>
      <c r="G23" s="49"/>
      <c r="H23" s="50"/>
      <c r="I23" s="50"/>
      <c r="J23" s="50"/>
      <c r="K23" s="51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t="15.75" customHeight="1">
      <c r="A24" s="49"/>
      <c r="B24" s="49"/>
      <c r="C24" s="49"/>
      <c r="D24" s="49"/>
      <c r="E24" s="49"/>
      <c r="F24" s="49"/>
      <c r="G24" s="49"/>
      <c r="H24" s="50"/>
      <c r="I24" s="50"/>
      <c r="J24" s="50"/>
      <c r="K24" s="51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t="15.75" customHeight="1">
      <c r="A25" s="61" t="s">
        <v>138</v>
      </c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t="34.5" customHeight="1">
      <c r="A26" s="64" t="s">
        <v>76</v>
      </c>
      <c r="B26" s="64" t="s">
        <v>77</v>
      </c>
      <c r="C26" s="64" t="s">
        <v>78</v>
      </c>
      <c r="D26" s="64" t="s">
        <v>29</v>
      </c>
      <c r="E26" s="65" t="s">
        <v>79</v>
      </c>
      <c r="F26" s="65" t="s">
        <v>179</v>
      </c>
      <c r="G26" s="64" t="s">
        <v>81</v>
      </c>
      <c r="H26" s="67" t="s">
        <v>82</v>
      </c>
      <c r="I26" s="67" t="s">
        <v>83</v>
      </c>
      <c r="J26" s="67" t="s">
        <v>84</v>
      </c>
      <c r="K26" s="211" t="s">
        <v>85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ht="15.75" customHeight="1">
      <c r="A27" s="242">
        <v>3.0</v>
      </c>
      <c r="B27" s="237" t="s">
        <v>190</v>
      </c>
      <c r="C27" s="237" t="s">
        <v>128</v>
      </c>
      <c r="D27" s="237" t="s">
        <v>54</v>
      </c>
      <c r="E27" s="237">
        <v>0.5</v>
      </c>
      <c r="F27" s="236">
        <v>3.0</v>
      </c>
      <c r="G27" s="237">
        <v>1.0</v>
      </c>
      <c r="H27" s="237">
        <v>10.0</v>
      </c>
      <c r="I27" s="77">
        <f t="shared" ref="I27:I28" si="8">H27/$M$11</f>
        <v>2.958579882</v>
      </c>
      <c r="J27" s="77">
        <f t="shared" ref="J27:J31" si="9">I27*E27*G27</f>
        <v>1.479289941</v>
      </c>
      <c r="K27" s="77">
        <f t="shared" ref="K27:K31" si="10">F27*G27*I27</f>
        <v>8.875739645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ht="15.75" customHeight="1">
      <c r="A28" s="243">
        <v>4.0</v>
      </c>
      <c r="B28" s="83" t="s">
        <v>190</v>
      </c>
      <c r="C28" s="83" t="s">
        <v>128</v>
      </c>
      <c r="D28" s="83" t="s">
        <v>54</v>
      </c>
      <c r="E28" s="83">
        <v>0.5</v>
      </c>
      <c r="F28" s="122">
        <v>3.0</v>
      </c>
      <c r="G28" s="83">
        <v>1.0</v>
      </c>
      <c r="H28" s="83">
        <v>10.0</v>
      </c>
      <c r="I28" s="98">
        <f t="shared" si="8"/>
        <v>2.958579882</v>
      </c>
      <c r="J28" s="98">
        <f t="shared" si="9"/>
        <v>1.479289941</v>
      </c>
      <c r="K28" s="98">
        <f t="shared" si="10"/>
        <v>8.875739645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ht="15.75" customHeight="1">
      <c r="A29" s="244">
        <v>5.0</v>
      </c>
      <c r="B29" s="245" t="s">
        <v>190</v>
      </c>
      <c r="C29" s="246" t="s">
        <v>154</v>
      </c>
      <c r="D29" s="247" t="s">
        <v>29</v>
      </c>
      <c r="E29" s="246">
        <v>1.0</v>
      </c>
      <c r="F29" s="246">
        <v>2.0</v>
      </c>
      <c r="G29" s="245">
        <v>1.0</v>
      </c>
      <c r="H29" s="248">
        <v>4.0</v>
      </c>
      <c r="I29" s="248">
        <v>1.18</v>
      </c>
      <c r="J29" s="249">
        <f t="shared" si="9"/>
        <v>1.18</v>
      </c>
      <c r="K29" s="249">
        <f t="shared" si="10"/>
        <v>2.36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ht="15.75" customHeight="1">
      <c r="A30" s="92"/>
      <c r="B30" s="245" t="s">
        <v>190</v>
      </c>
      <c r="C30" s="246" t="s">
        <v>155</v>
      </c>
      <c r="D30" s="247" t="s">
        <v>29</v>
      </c>
      <c r="E30" s="246">
        <v>1.0</v>
      </c>
      <c r="F30" s="246">
        <v>1.0</v>
      </c>
      <c r="G30" s="246">
        <v>1.0</v>
      </c>
      <c r="H30" s="248">
        <v>4.0</v>
      </c>
      <c r="I30" s="248">
        <v>1.18</v>
      </c>
      <c r="J30" s="249">
        <f t="shared" si="9"/>
        <v>1.18</v>
      </c>
      <c r="K30" s="249">
        <f t="shared" si="10"/>
        <v>1.18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t="15.75" customHeight="1">
      <c r="A31" s="81"/>
      <c r="B31" s="245" t="s">
        <v>190</v>
      </c>
      <c r="C31" s="246" t="s">
        <v>156</v>
      </c>
      <c r="D31" s="247" t="s">
        <v>29</v>
      </c>
      <c r="E31" s="246">
        <v>2.0</v>
      </c>
      <c r="F31" s="246">
        <v>4.0</v>
      </c>
      <c r="G31" s="246">
        <v>1.0</v>
      </c>
      <c r="H31" s="248">
        <v>4.0</v>
      </c>
      <c r="I31" s="248">
        <v>1.18</v>
      </c>
      <c r="J31" s="249">
        <f t="shared" si="9"/>
        <v>2.36</v>
      </c>
      <c r="K31" s="249">
        <f t="shared" si="10"/>
        <v>4.72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t="15.75" customHeight="1">
      <c r="A32" s="53" t="s">
        <v>70</v>
      </c>
      <c r="B32" s="53" t="s">
        <v>115</v>
      </c>
      <c r="C32" s="53" t="s">
        <v>115</v>
      </c>
      <c r="D32" s="53" t="s">
        <v>115</v>
      </c>
      <c r="E32" s="53" t="s">
        <v>115</v>
      </c>
      <c r="F32" s="53"/>
      <c r="G32" s="53" t="s">
        <v>115</v>
      </c>
      <c r="H32" s="80">
        <f t="shared" ref="H32:K32" si="11">SUM(H27:H31)</f>
        <v>32</v>
      </c>
      <c r="I32" s="80">
        <f t="shared" si="11"/>
        <v>9.457159763</v>
      </c>
      <c r="J32" s="80">
        <f t="shared" si="11"/>
        <v>7.678579882</v>
      </c>
      <c r="K32" s="216">
        <f t="shared" si="11"/>
        <v>26.01147929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ht="15.75" customHeight="1">
      <c r="A33" s="49"/>
      <c r="B33" s="49"/>
      <c r="C33" s="49"/>
      <c r="D33" s="49"/>
      <c r="E33" s="49"/>
      <c r="F33" s="49"/>
      <c r="G33" s="49"/>
      <c r="H33" s="50"/>
      <c r="I33" s="50"/>
      <c r="J33" s="50"/>
      <c r="K33" s="51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ht="15.75" customHeight="1">
      <c r="A34" s="49"/>
      <c r="B34" s="49"/>
      <c r="C34" s="49"/>
      <c r="D34" s="49"/>
      <c r="E34" s="49"/>
      <c r="F34" s="49"/>
      <c r="G34" s="49"/>
      <c r="H34" s="50"/>
      <c r="I34" s="50"/>
      <c r="J34" s="50"/>
      <c r="K34" s="51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t="15.75" customHeight="1">
      <c r="A35" s="49"/>
      <c r="B35" s="49"/>
      <c r="C35" s="49"/>
      <c r="D35" s="49"/>
      <c r="E35" s="49"/>
      <c r="F35" s="49"/>
      <c r="G35" s="49"/>
      <c r="H35" s="50"/>
      <c r="I35" s="50"/>
      <c r="J35" s="50"/>
      <c r="K35" s="5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ht="27.0" customHeight="1">
      <c r="A36" s="49"/>
      <c r="B36" s="49"/>
      <c r="C36" s="232" t="s">
        <v>196</v>
      </c>
      <c r="D36" s="233">
        <f>K13+K21+K32</f>
        <v>76.31230769</v>
      </c>
      <c r="E36" s="49"/>
      <c r="F36" s="49"/>
      <c r="G36" s="49"/>
      <c r="H36" s="50"/>
      <c r="I36" s="50"/>
      <c r="J36" s="50"/>
      <c r="K36" s="5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ht="15.75" customHeight="1">
      <c r="A37" s="49"/>
      <c r="B37" s="49"/>
      <c r="C37" s="49"/>
      <c r="D37" s="49"/>
      <c r="E37" s="49"/>
      <c r="F37" s="49"/>
      <c r="G37" s="49"/>
      <c r="H37" s="50"/>
      <c r="I37" s="50"/>
      <c r="J37" s="50"/>
      <c r="K37" s="51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ht="15.75" customHeight="1">
      <c r="A38" s="49"/>
      <c r="B38" s="49"/>
      <c r="C38" s="49"/>
      <c r="D38" s="49"/>
      <c r="E38" s="49"/>
      <c r="F38" s="49"/>
      <c r="G38" s="49"/>
      <c r="H38" s="50"/>
      <c r="I38" s="50"/>
      <c r="J38" s="50"/>
      <c r="K38" s="51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ht="15.75" customHeight="1">
      <c r="A39" s="49"/>
      <c r="B39" s="49"/>
      <c r="C39" s="49"/>
      <c r="D39" s="49"/>
      <c r="E39" s="49"/>
      <c r="F39" s="49"/>
      <c r="G39" s="49"/>
      <c r="H39" s="50"/>
      <c r="I39" s="50"/>
      <c r="J39" s="50"/>
      <c r="K39" s="5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ht="31.5" customHeight="1">
      <c r="A40" s="49"/>
      <c r="B40" s="49"/>
      <c r="C40" s="232" t="s">
        <v>197</v>
      </c>
      <c r="D40" s="233">
        <f>J13+J21+J32</f>
        <v>31.34573964</v>
      </c>
      <c r="E40" s="49"/>
      <c r="F40" s="49"/>
      <c r="G40" s="49"/>
      <c r="H40" s="50"/>
      <c r="I40" s="50"/>
      <c r="J40" s="50"/>
      <c r="K40" s="51"/>
      <c r="L40" s="69"/>
      <c r="M40" s="49"/>
      <c r="N40" s="4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1" ht="15.75" customHeight="1">
      <c r="A41" s="49"/>
      <c r="B41" s="49"/>
      <c r="C41" s="49"/>
      <c r="D41" s="49"/>
      <c r="E41" s="49"/>
      <c r="F41" s="49"/>
      <c r="G41" s="49"/>
      <c r="H41" s="50"/>
      <c r="I41" s="50"/>
      <c r="J41" s="50"/>
      <c r="K41" s="51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ht="15.75" customHeight="1">
      <c r="A42" s="49"/>
      <c r="B42" s="49"/>
      <c r="C42" s="49"/>
      <c r="D42" s="49"/>
      <c r="E42" s="49"/>
      <c r="F42" s="49"/>
      <c r="G42" s="49"/>
      <c r="H42" s="50"/>
      <c r="I42" s="50"/>
      <c r="J42" s="50"/>
      <c r="K42" s="51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ht="15.75" customHeight="1">
      <c r="A43" s="49"/>
      <c r="B43" s="49"/>
      <c r="C43" s="49"/>
      <c r="D43" s="49"/>
      <c r="E43" s="49"/>
      <c r="F43" s="49"/>
      <c r="G43" s="49"/>
      <c r="H43" s="50"/>
      <c r="I43" s="50"/>
      <c r="J43" s="50"/>
      <c r="K43" s="51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ht="15.75" customHeight="1">
      <c r="A44" s="49"/>
      <c r="B44" s="49"/>
      <c r="C44" s="49"/>
      <c r="D44" s="49"/>
      <c r="E44" s="49"/>
      <c r="F44" s="49"/>
      <c r="G44" s="49"/>
      <c r="H44" s="50"/>
      <c r="I44" s="50"/>
      <c r="J44" s="50"/>
      <c r="K44" s="51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 ht="15.75" customHeight="1">
      <c r="A45" s="49"/>
      <c r="B45" s="49"/>
      <c r="C45" s="49"/>
      <c r="D45" s="49"/>
      <c r="E45" s="49"/>
      <c r="F45" s="49"/>
      <c r="G45" s="49"/>
      <c r="H45" s="50"/>
      <c r="I45" s="50"/>
      <c r="J45" s="50"/>
      <c r="K45" s="51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ht="15.75" customHeight="1">
      <c r="A46" s="49"/>
      <c r="B46" s="49"/>
      <c r="C46" s="49"/>
      <c r="D46" s="49"/>
      <c r="E46" s="49"/>
      <c r="F46" s="49"/>
      <c r="G46" s="49"/>
      <c r="H46" s="50"/>
      <c r="I46" s="50"/>
      <c r="J46" s="50"/>
      <c r="K46" s="51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ht="15.75" customHeight="1">
      <c r="A47" s="49"/>
      <c r="B47" s="49"/>
      <c r="C47" s="49"/>
      <c r="D47" s="49"/>
      <c r="E47" s="49"/>
      <c r="F47" s="49"/>
      <c r="G47" s="49"/>
      <c r="H47" s="50"/>
      <c r="I47" s="50"/>
      <c r="J47" s="50"/>
      <c r="K47" s="51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ht="15.75" customHeight="1">
      <c r="A48" s="49"/>
      <c r="B48" s="49"/>
      <c r="C48" s="49"/>
      <c r="D48" s="49"/>
      <c r="E48" s="49"/>
      <c r="F48" s="49"/>
      <c r="G48" s="49"/>
      <c r="H48" s="50"/>
      <c r="I48" s="50"/>
      <c r="J48" s="50"/>
      <c r="K48" s="51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ht="15.75" customHeight="1">
      <c r="A49" s="49"/>
      <c r="B49" s="49"/>
      <c r="C49" s="49"/>
      <c r="D49" s="49"/>
      <c r="E49" s="49"/>
      <c r="F49" s="49"/>
      <c r="G49" s="49"/>
      <c r="H49" s="50"/>
      <c r="I49" s="50"/>
      <c r="J49" s="50"/>
      <c r="K49" s="51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ht="15.75" customHeight="1">
      <c r="A50" s="49"/>
      <c r="B50" s="49"/>
      <c r="C50" s="49"/>
      <c r="D50" s="49"/>
      <c r="E50" s="49"/>
      <c r="F50" s="49"/>
      <c r="G50" s="49"/>
      <c r="H50" s="50"/>
      <c r="I50" s="50"/>
      <c r="J50" s="50"/>
      <c r="K50" s="51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ht="15.75" customHeight="1">
      <c r="A51" s="49"/>
      <c r="B51" s="49"/>
      <c r="C51" s="49"/>
      <c r="D51" s="49"/>
      <c r="E51" s="49"/>
      <c r="F51" s="49"/>
      <c r="G51" s="49"/>
      <c r="H51" s="50"/>
      <c r="I51" s="50"/>
      <c r="J51" s="50"/>
      <c r="K51" s="51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ht="15.75" customHeight="1">
      <c r="A52" s="49"/>
      <c r="B52" s="49"/>
      <c r="C52" s="49"/>
      <c r="D52" s="49"/>
      <c r="E52" s="49"/>
      <c r="F52" s="49"/>
      <c r="G52" s="49"/>
      <c r="H52" s="50"/>
      <c r="I52" s="50"/>
      <c r="J52" s="50"/>
      <c r="K52" s="51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ht="15.75" customHeight="1">
      <c r="A53" s="49"/>
      <c r="B53" s="49"/>
      <c r="C53" s="49"/>
      <c r="D53" s="49"/>
      <c r="E53" s="49"/>
      <c r="F53" s="49"/>
      <c r="G53" s="49"/>
      <c r="H53" s="50"/>
      <c r="I53" s="50"/>
      <c r="J53" s="50"/>
      <c r="K53" s="51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ht="15.75" customHeight="1">
      <c r="A54" s="49"/>
      <c r="B54" s="49"/>
      <c r="C54" s="49"/>
      <c r="D54" s="49"/>
      <c r="E54" s="49"/>
      <c r="F54" s="49"/>
      <c r="G54" s="49"/>
      <c r="H54" s="50"/>
      <c r="I54" s="50"/>
      <c r="J54" s="50"/>
      <c r="K54" s="51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ht="15.75" customHeight="1">
      <c r="A55" s="49"/>
      <c r="B55" s="49"/>
      <c r="C55" s="49"/>
      <c r="D55" s="49"/>
      <c r="E55" s="49"/>
      <c r="F55" s="49"/>
      <c r="G55" s="49"/>
      <c r="H55" s="50"/>
      <c r="I55" s="50"/>
      <c r="J55" s="50"/>
      <c r="K55" s="51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ht="15.75" customHeight="1">
      <c r="A56" s="49"/>
      <c r="B56" s="49"/>
      <c r="C56" s="49"/>
      <c r="D56" s="49"/>
      <c r="E56" s="49"/>
      <c r="F56" s="49"/>
      <c r="G56" s="49"/>
      <c r="H56" s="50"/>
      <c r="I56" s="50"/>
      <c r="J56" s="50"/>
      <c r="K56" s="51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ht="15.75" customHeight="1">
      <c r="A57" s="49"/>
      <c r="B57" s="49"/>
      <c r="C57" s="49"/>
      <c r="D57" s="49"/>
      <c r="E57" s="49"/>
      <c r="F57" s="49"/>
      <c r="G57" s="49"/>
      <c r="H57" s="50"/>
      <c r="I57" s="50"/>
      <c r="J57" s="50"/>
      <c r="K57" s="51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ht="15.75" customHeight="1">
      <c r="A58" s="49"/>
      <c r="B58" s="49"/>
      <c r="C58" s="49"/>
      <c r="D58" s="49"/>
      <c r="E58" s="49"/>
      <c r="F58" s="49"/>
      <c r="G58" s="49"/>
      <c r="H58" s="50"/>
      <c r="I58" s="50"/>
      <c r="J58" s="50"/>
      <c r="K58" s="51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ht="15.75" customHeight="1">
      <c r="A59" s="49"/>
      <c r="B59" s="49"/>
      <c r="C59" s="49"/>
      <c r="D59" s="49"/>
      <c r="E59" s="49"/>
      <c r="F59" s="49"/>
      <c r="G59" s="49"/>
      <c r="H59" s="50"/>
      <c r="I59" s="50"/>
      <c r="J59" s="50"/>
      <c r="K59" s="51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ht="15.75" customHeight="1">
      <c r="A60" s="49"/>
      <c r="B60" s="49"/>
      <c r="C60" s="49"/>
      <c r="D60" s="49"/>
      <c r="E60" s="49"/>
      <c r="F60" s="49"/>
      <c r="G60" s="49"/>
      <c r="H60" s="50"/>
      <c r="I60" s="50"/>
      <c r="J60" s="50"/>
      <c r="K60" s="51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ht="15.75" customHeight="1">
      <c r="A61" s="49"/>
      <c r="B61" s="49"/>
      <c r="C61" s="49"/>
      <c r="D61" s="49"/>
      <c r="E61" s="49"/>
      <c r="F61" s="49"/>
      <c r="G61" s="49"/>
      <c r="H61" s="50"/>
      <c r="I61" s="50"/>
      <c r="J61" s="50"/>
      <c r="K61" s="51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ht="15.75" customHeight="1">
      <c r="A62" s="49"/>
      <c r="B62" s="49"/>
      <c r="C62" s="49"/>
      <c r="D62" s="49"/>
      <c r="E62" s="49"/>
      <c r="F62" s="49"/>
      <c r="G62" s="49"/>
      <c r="H62" s="50"/>
      <c r="I62" s="50"/>
      <c r="J62" s="50"/>
      <c r="K62" s="51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ht="15.75" customHeight="1">
      <c r="A63" s="49"/>
      <c r="B63" s="49"/>
      <c r="C63" s="49"/>
      <c r="D63" s="49"/>
      <c r="E63" s="49"/>
      <c r="F63" s="49"/>
      <c r="G63" s="49"/>
      <c r="H63" s="50"/>
      <c r="I63" s="50"/>
      <c r="J63" s="50"/>
      <c r="K63" s="51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ht="15.75" customHeight="1">
      <c r="A64" s="49"/>
      <c r="B64" s="49"/>
      <c r="C64" s="49"/>
      <c r="D64" s="49"/>
      <c r="E64" s="49"/>
      <c r="F64" s="49"/>
      <c r="G64" s="49"/>
      <c r="H64" s="50"/>
      <c r="I64" s="50"/>
      <c r="J64" s="50"/>
      <c r="K64" s="51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ht="15.75" customHeight="1">
      <c r="A65" s="49"/>
      <c r="B65" s="49"/>
      <c r="C65" s="49"/>
      <c r="D65" s="49"/>
      <c r="E65" s="49"/>
      <c r="F65" s="49"/>
      <c r="G65" s="49"/>
      <c r="H65" s="50"/>
      <c r="I65" s="50"/>
      <c r="J65" s="50"/>
      <c r="K65" s="51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ht="15.75" customHeight="1">
      <c r="A66" s="49"/>
      <c r="B66" s="49"/>
      <c r="C66" s="49"/>
      <c r="D66" s="49"/>
      <c r="E66" s="49"/>
      <c r="F66" s="49"/>
      <c r="G66" s="49"/>
      <c r="H66" s="50"/>
      <c r="I66" s="50"/>
      <c r="J66" s="50"/>
      <c r="K66" s="51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ht="15.75" customHeight="1">
      <c r="A67" s="49"/>
      <c r="B67" s="49"/>
      <c r="C67" s="49"/>
      <c r="D67" s="49"/>
      <c r="E67" s="49"/>
      <c r="F67" s="49"/>
      <c r="G67" s="49"/>
      <c r="H67" s="50"/>
      <c r="I67" s="50"/>
      <c r="J67" s="50"/>
      <c r="K67" s="51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ht="15.75" customHeight="1">
      <c r="A68" s="49"/>
      <c r="B68" s="49"/>
      <c r="C68" s="49"/>
      <c r="D68" s="49"/>
      <c r="E68" s="49"/>
      <c r="F68" s="49"/>
      <c r="G68" s="49"/>
      <c r="H68" s="50"/>
      <c r="I68" s="50"/>
      <c r="J68" s="50"/>
      <c r="K68" s="51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ht="15.75" customHeight="1">
      <c r="A69" s="49"/>
      <c r="B69" s="49"/>
      <c r="C69" s="49"/>
      <c r="D69" s="49"/>
      <c r="E69" s="49"/>
      <c r="F69" s="49"/>
      <c r="G69" s="49"/>
      <c r="H69" s="50"/>
      <c r="I69" s="50"/>
      <c r="J69" s="50"/>
      <c r="K69" s="51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ht="15.75" customHeight="1">
      <c r="A70" s="49"/>
      <c r="B70" s="49"/>
      <c r="C70" s="49"/>
      <c r="D70" s="49"/>
      <c r="E70" s="49"/>
      <c r="F70" s="49"/>
      <c r="G70" s="49"/>
      <c r="H70" s="50"/>
      <c r="I70" s="50"/>
      <c r="J70" s="50"/>
      <c r="K70" s="51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ht="15.75" customHeight="1">
      <c r="A71" s="49"/>
      <c r="B71" s="49"/>
      <c r="C71" s="49"/>
      <c r="D71" s="49"/>
      <c r="E71" s="49"/>
      <c r="F71" s="49"/>
      <c r="G71" s="49"/>
      <c r="H71" s="50"/>
      <c r="I71" s="50"/>
      <c r="J71" s="50"/>
      <c r="K71" s="51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ht="15.75" customHeight="1">
      <c r="A72" s="49"/>
      <c r="B72" s="49"/>
      <c r="C72" s="49"/>
      <c r="D72" s="49"/>
      <c r="E72" s="49"/>
      <c r="F72" s="49"/>
      <c r="G72" s="49"/>
      <c r="H72" s="50"/>
      <c r="I72" s="50"/>
      <c r="J72" s="50"/>
      <c r="K72" s="51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 ht="15.75" customHeight="1">
      <c r="A73" s="49"/>
      <c r="B73" s="49"/>
      <c r="C73" s="49"/>
      <c r="D73" s="49"/>
      <c r="E73" s="49"/>
      <c r="F73" s="49"/>
      <c r="G73" s="49"/>
      <c r="H73" s="50"/>
      <c r="I73" s="50"/>
      <c r="J73" s="50"/>
      <c r="K73" s="51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ht="15.75" customHeight="1">
      <c r="A74" s="49"/>
      <c r="B74" s="49"/>
      <c r="C74" s="49"/>
      <c r="D74" s="49"/>
      <c r="E74" s="49"/>
      <c r="F74" s="49"/>
      <c r="G74" s="49"/>
      <c r="H74" s="50"/>
      <c r="I74" s="50"/>
      <c r="J74" s="50"/>
      <c r="K74" s="51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ht="15.75" customHeight="1">
      <c r="A75" s="49"/>
      <c r="B75" s="49"/>
      <c r="C75" s="49"/>
      <c r="D75" s="49"/>
      <c r="E75" s="49"/>
      <c r="F75" s="49"/>
      <c r="G75" s="49"/>
      <c r="H75" s="50"/>
      <c r="I75" s="50"/>
      <c r="J75" s="50"/>
      <c r="K75" s="51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ht="15.75" customHeight="1">
      <c r="A76" s="49"/>
      <c r="B76" s="49"/>
      <c r="C76" s="49"/>
      <c r="D76" s="49"/>
      <c r="E76" s="49"/>
      <c r="F76" s="49"/>
      <c r="G76" s="49"/>
      <c r="H76" s="50"/>
      <c r="I76" s="50"/>
      <c r="J76" s="50"/>
      <c r="K76" s="51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ht="15.75" customHeight="1">
      <c r="A77" s="49"/>
      <c r="B77" s="49"/>
      <c r="C77" s="49"/>
      <c r="D77" s="49"/>
      <c r="E77" s="49"/>
      <c r="F77" s="49"/>
      <c r="G77" s="49"/>
      <c r="H77" s="50"/>
      <c r="I77" s="50"/>
      <c r="J77" s="50"/>
      <c r="K77" s="51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ht="15.75" customHeight="1">
      <c r="A78" s="49"/>
      <c r="B78" s="49"/>
      <c r="C78" s="49"/>
      <c r="D78" s="49"/>
      <c r="E78" s="49"/>
      <c r="F78" s="49"/>
      <c r="G78" s="49"/>
      <c r="H78" s="50"/>
      <c r="I78" s="50"/>
      <c r="J78" s="50"/>
      <c r="K78" s="51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ht="15.75" customHeight="1">
      <c r="A79" s="49"/>
      <c r="B79" s="49"/>
      <c r="C79" s="49"/>
      <c r="D79" s="49"/>
      <c r="E79" s="49"/>
      <c r="F79" s="49"/>
      <c r="G79" s="49"/>
      <c r="H79" s="50"/>
      <c r="I79" s="50"/>
      <c r="J79" s="50"/>
      <c r="K79" s="51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ht="15.75" customHeight="1">
      <c r="A80" s="49"/>
      <c r="B80" s="49"/>
      <c r="C80" s="49"/>
      <c r="D80" s="49"/>
      <c r="E80" s="49"/>
      <c r="F80" s="49"/>
      <c r="G80" s="49"/>
      <c r="H80" s="50"/>
      <c r="I80" s="50"/>
      <c r="J80" s="50"/>
      <c r="K80" s="5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ht="15.75" customHeight="1">
      <c r="A81" s="49"/>
      <c r="B81" s="49"/>
      <c r="C81" s="49"/>
      <c r="D81" s="49"/>
      <c r="E81" s="49"/>
      <c r="F81" s="49"/>
      <c r="G81" s="49"/>
      <c r="H81" s="50"/>
      <c r="I81" s="50"/>
      <c r="J81" s="50"/>
      <c r="K81" s="51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ht="15.75" customHeight="1">
      <c r="A82" s="49"/>
      <c r="B82" s="49"/>
      <c r="C82" s="49"/>
      <c r="D82" s="49"/>
      <c r="E82" s="49"/>
      <c r="F82" s="49"/>
      <c r="G82" s="49"/>
      <c r="H82" s="50"/>
      <c r="I82" s="50"/>
      <c r="J82" s="50"/>
      <c r="K82" s="51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ht="15.75" customHeight="1">
      <c r="A83" s="49"/>
      <c r="B83" s="49"/>
      <c r="C83" s="49"/>
      <c r="D83" s="49"/>
      <c r="E83" s="49"/>
      <c r="F83" s="49"/>
      <c r="G83" s="49"/>
      <c r="H83" s="50"/>
      <c r="I83" s="50"/>
      <c r="J83" s="50"/>
      <c r="K83" s="5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ht="15.75" customHeight="1">
      <c r="A84" s="49"/>
      <c r="B84" s="49"/>
      <c r="C84" s="49"/>
      <c r="D84" s="49"/>
      <c r="E84" s="49"/>
      <c r="F84" s="49"/>
      <c r="G84" s="49"/>
      <c r="H84" s="50"/>
      <c r="I84" s="50"/>
      <c r="J84" s="50"/>
      <c r="K84" s="51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ht="15.75" customHeight="1">
      <c r="A85" s="49"/>
      <c r="B85" s="49"/>
      <c r="C85" s="49"/>
      <c r="D85" s="49"/>
      <c r="E85" s="49"/>
      <c r="F85" s="49"/>
      <c r="G85" s="49"/>
      <c r="H85" s="50"/>
      <c r="I85" s="50"/>
      <c r="J85" s="50"/>
      <c r="K85" s="51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ht="15.75" customHeight="1">
      <c r="A86" s="49"/>
      <c r="B86" s="49"/>
      <c r="C86" s="49"/>
      <c r="D86" s="49"/>
      <c r="E86" s="49"/>
      <c r="F86" s="49"/>
      <c r="G86" s="49"/>
      <c r="H86" s="50"/>
      <c r="I86" s="50"/>
      <c r="J86" s="50"/>
      <c r="K86" s="51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 ht="15.75" customHeight="1">
      <c r="A87" s="49"/>
      <c r="B87" s="49"/>
      <c r="C87" s="49"/>
      <c r="D87" s="49"/>
      <c r="E87" s="49"/>
      <c r="F87" s="49"/>
      <c r="G87" s="49"/>
      <c r="H87" s="50"/>
      <c r="I87" s="50"/>
      <c r="J87" s="50"/>
      <c r="K87" s="51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ht="15.75" customHeight="1">
      <c r="A88" s="49"/>
      <c r="B88" s="49"/>
      <c r="C88" s="49"/>
      <c r="D88" s="49"/>
      <c r="E88" s="49"/>
      <c r="F88" s="49"/>
      <c r="G88" s="49"/>
      <c r="H88" s="50"/>
      <c r="I88" s="50"/>
      <c r="J88" s="50"/>
      <c r="K88" s="51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ht="15.75" customHeight="1">
      <c r="A89" s="49"/>
      <c r="B89" s="49"/>
      <c r="C89" s="49"/>
      <c r="D89" s="49"/>
      <c r="E89" s="49"/>
      <c r="F89" s="49"/>
      <c r="G89" s="49"/>
      <c r="H89" s="50"/>
      <c r="I89" s="50"/>
      <c r="J89" s="50"/>
      <c r="K89" s="51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ht="15.75" customHeight="1">
      <c r="A90" s="49"/>
      <c r="B90" s="49"/>
      <c r="C90" s="49"/>
      <c r="D90" s="49"/>
      <c r="E90" s="49"/>
      <c r="F90" s="49"/>
      <c r="G90" s="49"/>
      <c r="H90" s="50"/>
      <c r="I90" s="50"/>
      <c r="J90" s="50"/>
      <c r="K90" s="51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ht="15.75" customHeight="1">
      <c r="A91" s="49"/>
      <c r="B91" s="49"/>
      <c r="C91" s="49"/>
      <c r="D91" s="49"/>
      <c r="E91" s="49"/>
      <c r="F91" s="49"/>
      <c r="G91" s="49"/>
      <c r="H91" s="50"/>
      <c r="I91" s="50"/>
      <c r="J91" s="50"/>
      <c r="K91" s="51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ht="15.75" customHeight="1">
      <c r="A92" s="49"/>
      <c r="B92" s="49"/>
      <c r="C92" s="49"/>
      <c r="D92" s="49"/>
      <c r="E92" s="49"/>
      <c r="F92" s="49"/>
      <c r="G92" s="49"/>
      <c r="H92" s="50"/>
      <c r="I92" s="50"/>
      <c r="J92" s="50"/>
      <c r="K92" s="51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ht="15.75" customHeight="1">
      <c r="A93" s="49"/>
      <c r="B93" s="49"/>
      <c r="C93" s="49"/>
      <c r="D93" s="49"/>
      <c r="E93" s="49"/>
      <c r="F93" s="49"/>
      <c r="G93" s="49"/>
      <c r="H93" s="50"/>
      <c r="I93" s="50"/>
      <c r="J93" s="50"/>
      <c r="K93" s="51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ht="15.75" customHeight="1">
      <c r="A94" s="49"/>
      <c r="B94" s="49"/>
      <c r="C94" s="49"/>
      <c r="D94" s="49"/>
      <c r="E94" s="49"/>
      <c r="F94" s="49"/>
      <c r="G94" s="49"/>
      <c r="H94" s="50"/>
      <c r="I94" s="50"/>
      <c r="J94" s="50"/>
      <c r="K94" s="51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ht="15.75" customHeight="1">
      <c r="A95" s="49"/>
      <c r="B95" s="49"/>
      <c r="C95" s="49"/>
      <c r="D95" s="49"/>
      <c r="E95" s="49"/>
      <c r="F95" s="49"/>
      <c r="G95" s="49"/>
      <c r="H95" s="50"/>
      <c r="I95" s="50"/>
      <c r="J95" s="50"/>
      <c r="K95" s="51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ht="15.75" customHeight="1">
      <c r="A96" s="49"/>
      <c r="B96" s="49"/>
      <c r="C96" s="49"/>
      <c r="D96" s="49"/>
      <c r="E96" s="49"/>
      <c r="F96" s="49"/>
      <c r="G96" s="49"/>
      <c r="H96" s="50"/>
      <c r="I96" s="50"/>
      <c r="J96" s="50"/>
      <c r="K96" s="51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ht="15.75" customHeight="1">
      <c r="A97" s="49"/>
      <c r="B97" s="49"/>
      <c r="C97" s="49"/>
      <c r="D97" s="49"/>
      <c r="E97" s="49"/>
      <c r="F97" s="49"/>
      <c r="G97" s="49"/>
      <c r="H97" s="50"/>
      <c r="I97" s="50"/>
      <c r="J97" s="50"/>
      <c r="K97" s="51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ht="15.75" customHeight="1">
      <c r="A98" s="49"/>
      <c r="B98" s="49"/>
      <c r="C98" s="49"/>
      <c r="D98" s="49"/>
      <c r="E98" s="49"/>
      <c r="F98" s="49"/>
      <c r="G98" s="49"/>
      <c r="H98" s="50"/>
      <c r="I98" s="50"/>
      <c r="J98" s="50"/>
      <c r="K98" s="51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ht="15.75" customHeight="1">
      <c r="A99" s="49"/>
      <c r="B99" s="49"/>
      <c r="C99" s="49"/>
      <c r="D99" s="49"/>
      <c r="E99" s="49"/>
      <c r="F99" s="49"/>
      <c r="G99" s="49"/>
      <c r="H99" s="50"/>
      <c r="I99" s="50"/>
      <c r="J99" s="50"/>
      <c r="K99" s="51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50"/>
      <c r="I100" s="50"/>
      <c r="J100" s="50"/>
      <c r="K100" s="51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50"/>
      <c r="I101" s="50"/>
      <c r="J101" s="50"/>
      <c r="K101" s="51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50"/>
      <c r="I102" s="50"/>
      <c r="J102" s="50"/>
      <c r="K102" s="51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50"/>
      <c r="I103" s="50"/>
      <c r="J103" s="50"/>
      <c r="K103" s="51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50"/>
      <c r="I104" s="50"/>
      <c r="J104" s="50"/>
      <c r="K104" s="51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50"/>
      <c r="I105" s="50"/>
      <c r="J105" s="50"/>
      <c r="K105" s="51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50"/>
      <c r="I106" s="50"/>
      <c r="J106" s="50"/>
      <c r="K106" s="51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50"/>
      <c r="I107" s="50"/>
      <c r="J107" s="50"/>
      <c r="K107" s="51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50"/>
      <c r="I108" s="50"/>
      <c r="J108" s="50"/>
      <c r="K108" s="51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50"/>
      <c r="I109" s="50"/>
      <c r="J109" s="50"/>
      <c r="K109" s="51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50"/>
      <c r="I110" s="50"/>
      <c r="J110" s="50"/>
      <c r="K110" s="51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50"/>
      <c r="I111" s="50"/>
      <c r="J111" s="50"/>
      <c r="K111" s="51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50"/>
      <c r="I112" s="50"/>
      <c r="J112" s="50"/>
      <c r="K112" s="51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50"/>
      <c r="I113" s="50"/>
      <c r="J113" s="50"/>
      <c r="K113" s="51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50"/>
      <c r="I114" s="50"/>
      <c r="J114" s="50"/>
      <c r="K114" s="51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50"/>
      <c r="I115" s="50"/>
      <c r="J115" s="50"/>
      <c r="K115" s="51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50"/>
      <c r="I116" s="50"/>
      <c r="J116" s="50"/>
      <c r="K116" s="51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50"/>
      <c r="I117" s="50"/>
      <c r="J117" s="50"/>
      <c r="K117" s="51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50"/>
      <c r="I118" s="50"/>
      <c r="J118" s="50"/>
      <c r="K118" s="51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50"/>
      <c r="I119" s="50"/>
      <c r="J119" s="50"/>
      <c r="K119" s="51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50"/>
      <c r="I120" s="50"/>
      <c r="J120" s="50"/>
      <c r="K120" s="51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50"/>
      <c r="I121" s="50"/>
      <c r="J121" s="50"/>
      <c r="K121" s="51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50"/>
      <c r="I122" s="50"/>
      <c r="J122" s="50"/>
      <c r="K122" s="51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50"/>
      <c r="I123" s="50"/>
      <c r="J123" s="50"/>
      <c r="K123" s="51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50"/>
      <c r="I124" s="50"/>
      <c r="J124" s="50"/>
      <c r="K124" s="51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50"/>
      <c r="I125" s="50"/>
      <c r="J125" s="50"/>
      <c r="K125" s="51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50"/>
      <c r="I126" s="50"/>
      <c r="J126" s="50"/>
      <c r="K126" s="51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50"/>
      <c r="I127" s="50"/>
      <c r="J127" s="50"/>
      <c r="K127" s="51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50"/>
      <c r="I128" s="50"/>
      <c r="J128" s="50"/>
      <c r="K128" s="51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50"/>
      <c r="I129" s="50"/>
      <c r="J129" s="50"/>
      <c r="K129" s="51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50"/>
      <c r="I130" s="50"/>
      <c r="J130" s="50"/>
      <c r="K130" s="51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50"/>
      <c r="I131" s="50"/>
      <c r="J131" s="50"/>
      <c r="K131" s="51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50"/>
      <c r="I132" s="50"/>
      <c r="J132" s="50"/>
      <c r="K132" s="51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50"/>
      <c r="I133" s="50"/>
      <c r="J133" s="50"/>
      <c r="K133" s="51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50"/>
      <c r="I134" s="50"/>
      <c r="J134" s="50"/>
      <c r="K134" s="51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50"/>
      <c r="I135" s="50"/>
      <c r="J135" s="50"/>
      <c r="K135" s="51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50"/>
      <c r="I136" s="50"/>
      <c r="J136" s="50"/>
      <c r="K136" s="51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50"/>
      <c r="I137" s="50"/>
      <c r="J137" s="50"/>
      <c r="K137" s="51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50"/>
      <c r="I138" s="50"/>
      <c r="J138" s="50"/>
      <c r="K138" s="51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50"/>
      <c r="I139" s="50"/>
      <c r="J139" s="50"/>
      <c r="K139" s="51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50"/>
      <c r="I140" s="50"/>
      <c r="J140" s="50"/>
      <c r="K140" s="51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50"/>
      <c r="I141" s="50"/>
      <c r="J141" s="50"/>
      <c r="K141" s="51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50"/>
      <c r="I142" s="50"/>
      <c r="J142" s="50"/>
      <c r="K142" s="51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50"/>
      <c r="I143" s="50"/>
      <c r="J143" s="50"/>
      <c r="K143" s="51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50"/>
      <c r="I144" s="50"/>
      <c r="J144" s="50"/>
      <c r="K144" s="51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50"/>
      <c r="I145" s="50"/>
      <c r="J145" s="50"/>
      <c r="K145" s="51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50"/>
      <c r="I146" s="50"/>
      <c r="J146" s="50"/>
      <c r="K146" s="51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50"/>
      <c r="I147" s="50"/>
      <c r="J147" s="50"/>
      <c r="K147" s="51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50"/>
      <c r="I148" s="50"/>
      <c r="J148" s="50"/>
      <c r="K148" s="51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50"/>
      <c r="I149" s="50"/>
      <c r="J149" s="50"/>
      <c r="K149" s="51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50"/>
      <c r="I150" s="50"/>
      <c r="J150" s="50"/>
      <c r="K150" s="51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50"/>
      <c r="I151" s="50"/>
      <c r="J151" s="50"/>
      <c r="K151" s="51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50"/>
      <c r="I152" s="50"/>
      <c r="J152" s="50"/>
      <c r="K152" s="51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50"/>
      <c r="I153" s="50"/>
      <c r="J153" s="50"/>
      <c r="K153" s="51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50"/>
      <c r="I154" s="50"/>
      <c r="J154" s="50"/>
      <c r="K154" s="51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50"/>
      <c r="I155" s="50"/>
      <c r="J155" s="50"/>
      <c r="K155" s="51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50"/>
      <c r="I156" s="50"/>
      <c r="J156" s="50"/>
      <c r="K156" s="51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50"/>
      <c r="I157" s="50"/>
      <c r="J157" s="50"/>
      <c r="K157" s="51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50"/>
      <c r="I158" s="50"/>
      <c r="J158" s="50"/>
      <c r="K158" s="51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50"/>
      <c r="I159" s="50"/>
      <c r="J159" s="50"/>
      <c r="K159" s="51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50"/>
      <c r="I160" s="50"/>
      <c r="J160" s="50"/>
      <c r="K160" s="51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50"/>
      <c r="I161" s="50"/>
      <c r="J161" s="50"/>
      <c r="K161" s="51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50"/>
      <c r="I162" s="50"/>
      <c r="J162" s="50"/>
      <c r="K162" s="51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50"/>
      <c r="I163" s="50"/>
      <c r="J163" s="50"/>
      <c r="K163" s="51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50"/>
      <c r="I164" s="50"/>
      <c r="J164" s="50"/>
      <c r="K164" s="51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50"/>
      <c r="I165" s="50"/>
      <c r="J165" s="50"/>
      <c r="K165" s="51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50"/>
      <c r="I166" s="50"/>
      <c r="J166" s="50"/>
      <c r="K166" s="51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50"/>
      <c r="I167" s="50"/>
      <c r="J167" s="50"/>
      <c r="K167" s="51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50"/>
      <c r="I168" s="50"/>
      <c r="J168" s="50"/>
      <c r="K168" s="51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50"/>
      <c r="I169" s="50"/>
      <c r="J169" s="50"/>
      <c r="K169" s="51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50"/>
      <c r="I170" s="50"/>
      <c r="J170" s="50"/>
      <c r="K170" s="51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50"/>
      <c r="I171" s="50"/>
      <c r="J171" s="50"/>
      <c r="K171" s="51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50"/>
      <c r="I172" s="50"/>
      <c r="J172" s="50"/>
      <c r="K172" s="51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50"/>
      <c r="I173" s="50"/>
      <c r="J173" s="50"/>
      <c r="K173" s="51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50"/>
      <c r="I174" s="50"/>
      <c r="J174" s="50"/>
      <c r="K174" s="51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50"/>
      <c r="I175" s="50"/>
      <c r="J175" s="50"/>
      <c r="K175" s="51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50"/>
      <c r="I176" s="50"/>
      <c r="J176" s="50"/>
      <c r="K176" s="51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50"/>
      <c r="I177" s="50"/>
      <c r="J177" s="50"/>
      <c r="K177" s="51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50"/>
      <c r="I178" s="50"/>
      <c r="J178" s="50"/>
      <c r="K178" s="51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50"/>
      <c r="I179" s="50"/>
      <c r="J179" s="50"/>
      <c r="K179" s="51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50"/>
      <c r="I180" s="50"/>
      <c r="J180" s="50"/>
      <c r="K180" s="51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50"/>
      <c r="I181" s="50"/>
      <c r="J181" s="50"/>
      <c r="K181" s="51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50"/>
      <c r="I182" s="50"/>
      <c r="J182" s="50"/>
      <c r="K182" s="51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50"/>
      <c r="I183" s="50"/>
      <c r="J183" s="50"/>
      <c r="K183" s="51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50"/>
      <c r="I184" s="50"/>
      <c r="J184" s="50"/>
      <c r="K184" s="51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50"/>
      <c r="I185" s="50"/>
      <c r="J185" s="50"/>
      <c r="K185" s="51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50"/>
      <c r="I186" s="50"/>
      <c r="J186" s="50"/>
      <c r="K186" s="51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50"/>
      <c r="I187" s="50"/>
      <c r="J187" s="50"/>
      <c r="K187" s="51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50"/>
      <c r="I188" s="50"/>
      <c r="J188" s="50"/>
      <c r="K188" s="51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50"/>
      <c r="I189" s="50"/>
      <c r="J189" s="50"/>
      <c r="K189" s="51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50"/>
      <c r="I190" s="50"/>
      <c r="J190" s="50"/>
      <c r="K190" s="51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50"/>
      <c r="I191" s="50"/>
      <c r="J191" s="50"/>
      <c r="K191" s="51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50"/>
      <c r="I192" s="50"/>
      <c r="J192" s="50"/>
      <c r="K192" s="51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50"/>
      <c r="I193" s="50"/>
      <c r="J193" s="50"/>
      <c r="K193" s="51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50"/>
      <c r="I194" s="50"/>
      <c r="J194" s="50"/>
      <c r="K194" s="51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50"/>
      <c r="I195" s="50"/>
      <c r="J195" s="50"/>
      <c r="K195" s="51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50"/>
      <c r="I196" s="50"/>
      <c r="J196" s="50"/>
      <c r="K196" s="51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50"/>
      <c r="I197" s="50"/>
      <c r="J197" s="50"/>
      <c r="K197" s="51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50"/>
      <c r="I198" s="50"/>
      <c r="J198" s="50"/>
      <c r="K198" s="51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50"/>
      <c r="I199" s="50"/>
      <c r="J199" s="50"/>
      <c r="K199" s="51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50"/>
      <c r="I200" s="50"/>
      <c r="J200" s="50"/>
      <c r="K200" s="51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50"/>
      <c r="I201" s="50"/>
      <c r="J201" s="50"/>
      <c r="K201" s="51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50"/>
      <c r="I202" s="50"/>
      <c r="J202" s="50"/>
      <c r="K202" s="51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50"/>
      <c r="I203" s="50"/>
      <c r="J203" s="50"/>
      <c r="K203" s="51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50"/>
      <c r="I204" s="50"/>
      <c r="J204" s="50"/>
      <c r="K204" s="51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50"/>
      <c r="I205" s="50"/>
      <c r="J205" s="50"/>
      <c r="K205" s="51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50"/>
      <c r="I206" s="50"/>
      <c r="J206" s="50"/>
      <c r="K206" s="51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50"/>
      <c r="I207" s="50"/>
      <c r="J207" s="50"/>
      <c r="K207" s="51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50"/>
      <c r="I208" s="50"/>
      <c r="J208" s="50"/>
      <c r="K208" s="51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50"/>
      <c r="I209" s="50"/>
      <c r="J209" s="50"/>
      <c r="K209" s="51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50"/>
      <c r="I210" s="50"/>
      <c r="J210" s="50"/>
      <c r="K210" s="51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50"/>
      <c r="I211" s="50"/>
      <c r="J211" s="50"/>
      <c r="K211" s="51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50"/>
      <c r="I212" s="50"/>
      <c r="J212" s="50"/>
      <c r="K212" s="51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50"/>
      <c r="I213" s="50"/>
      <c r="J213" s="50"/>
      <c r="K213" s="51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50"/>
      <c r="I214" s="50"/>
      <c r="J214" s="50"/>
      <c r="K214" s="51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50"/>
      <c r="I215" s="50"/>
      <c r="J215" s="50"/>
      <c r="K215" s="51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50"/>
      <c r="I216" s="50"/>
      <c r="J216" s="50"/>
      <c r="K216" s="51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50"/>
      <c r="I217" s="50"/>
      <c r="J217" s="50"/>
      <c r="K217" s="51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50"/>
      <c r="I218" s="50"/>
      <c r="J218" s="50"/>
      <c r="K218" s="51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50"/>
      <c r="I219" s="50"/>
      <c r="J219" s="50"/>
      <c r="K219" s="51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50"/>
      <c r="I220" s="50"/>
      <c r="J220" s="50"/>
      <c r="K220" s="51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50"/>
      <c r="I221" s="50"/>
      <c r="J221" s="50"/>
      <c r="K221" s="51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50"/>
      <c r="I222" s="50"/>
      <c r="J222" s="50"/>
      <c r="K222" s="51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50"/>
      <c r="I223" s="50"/>
      <c r="J223" s="50"/>
      <c r="K223" s="51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50"/>
      <c r="I224" s="50"/>
      <c r="J224" s="50"/>
      <c r="K224" s="51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50"/>
      <c r="I225" s="50"/>
      <c r="J225" s="50"/>
      <c r="K225" s="51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50"/>
      <c r="I226" s="50"/>
      <c r="J226" s="50"/>
      <c r="K226" s="51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50"/>
      <c r="I227" s="50"/>
      <c r="J227" s="50"/>
      <c r="K227" s="51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50"/>
      <c r="I228" s="50"/>
      <c r="J228" s="50"/>
      <c r="K228" s="51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50"/>
      <c r="I229" s="50"/>
      <c r="J229" s="50"/>
      <c r="K229" s="51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50"/>
      <c r="I230" s="50"/>
      <c r="J230" s="50"/>
      <c r="K230" s="51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50"/>
      <c r="I231" s="50"/>
      <c r="J231" s="50"/>
      <c r="K231" s="51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50"/>
      <c r="I232" s="50"/>
      <c r="J232" s="50"/>
      <c r="K232" s="51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50"/>
      <c r="I233" s="50"/>
      <c r="J233" s="50"/>
      <c r="K233" s="51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50"/>
      <c r="I234" s="50"/>
      <c r="J234" s="50"/>
      <c r="K234" s="51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50"/>
      <c r="I235" s="50"/>
      <c r="J235" s="50"/>
      <c r="K235" s="51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50"/>
      <c r="I236" s="50"/>
      <c r="J236" s="50"/>
      <c r="K236" s="51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50"/>
      <c r="I237" s="50"/>
      <c r="J237" s="50"/>
      <c r="K237" s="51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50"/>
      <c r="I238" s="50"/>
      <c r="J238" s="50"/>
      <c r="K238" s="51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50"/>
      <c r="I239" s="50"/>
      <c r="J239" s="50"/>
      <c r="K239" s="51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50"/>
      <c r="I240" s="50"/>
      <c r="J240" s="50"/>
      <c r="K240" s="51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50"/>
      <c r="I241" s="50"/>
      <c r="J241" s="50"/>
      <c r="K241" s="51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50"/>
      <c r="I242" s="50"/>
      <c r="J242" s="50"/>
      <c r="K242" s="51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50"/>
      <c r="I243" s="50"/>
      <c r="J243" s="50"/>
      <c r="K243" s="51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50"/>
      <c r="I244" s="50"/>
      <c r="J244" s="50"/>
      <c r="K244" s="51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50"/>
      <c r="I245" s="50"/>
      <c r="J245" s="50"/>
      <c r="K245" s="51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50"/>
      <c r="I246" s="50"/>
      <c r="J246" s="50"/>
      <c r="K246" s="51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50"/>
      <c r="I247" s="50"/>
      <c r="J247" s="50"/>
      <c r="K247" s="51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50"/>
      <c r="I248" s="50"/>
      <c r="J248" s="50"/>
      <c r="K248" s="51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50"/>
      <c r="I249" s="50"/>
      <c r="J249" s="50"/>
      <c r="K249" s="51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50"/>
      <c r="I250" s="50"/>
      <c r="J250" s="50"/>
      <c r="K250" s="51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50"/>
      <c r="I251" s="50"/>
      <c r="J251" s="50"/>
      <c r="K251" s="51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50"/>
      <c r="I252" s="50"/>
      <c r="J252" s="50"/>
      <c r="K252" s="51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50"/>
      <c r="I253" s="50"/>
      <c r="J253" s="50"/>
      <c r="K253" s="51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50"/>
      <c r="I254" s="50"/>
      <c r="J254" s="50"/>
      <c r="K254" s="51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50"/>
      <c r="I255" s="50"/>
      <c r="J255" s="50"/>
      <c r="K255" s="51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50"/>
      <c r="I256" s="50"/>
      <c r="J256" s="50"/>
      <c r="K256" s="51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50"/>
      <c r="I257" s="50"/>
      <c r="J257" s="50"/>
      <c r="K257" s="51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50"/>
      <c r="I258" s="50"/>
      <c r="J258" s="50"/>
      <c r="K258" s="51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50"/>
      <c r="I259" s="50"/>
      <c r="J259" s="50"/>
      <c r="K259" s="51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50"/>
      <c r="I260" s="50"/>
      <c r="J260" s="50"/>
      <c r="K260" s="51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50"/>
      <c r="I261" s="50"/>
      <c r="J261" s="50"/>
      <c r="K261" s="51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50"/>
      <c r="I262" s="50"/>
      <c r="J262" s="50"/>
      <c r="K262" s="51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50"/>
      <c r="I263" s="50"/>
      <c r="J263" s="50"/>
      <c r="K263" s="51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50"/>
      <c r="I264" s="50"/>
      <c r="J264" s="50"/>
      <c r="K264" s="51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50"/>
      <c r="I265" s="50"/>
      <c r="J265" s="50"/>
      <c r="K265" s="51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50"/>
      <c r="I266" s="50"/>
      <c r="J266" s="50"/>
      <c r="K266" s="51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50"/>
      <c r="I267" s="50"/>
      <c r="J267" s="50"/>
      <c r="K267" s="51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50"/>
      <c r="I268" s="50"/>
      <c r="J268" s="50"/>
      <c r="K268" s="51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50"/>
      <c r="I269" s="50"/>
      <c r="J269" s="50"/>
      <c r="K269" s="51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50"/>
      <c r="I270" s="50"/>
      <c r="J270" s="50"/>
      <c r="K270" s="51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50"/>
      <c r="I271" s="50"/>
      <c r="J271" s="50"/>
      <c r="K271" s="51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50"/>
      <c r="I272" s="50"/>
      <c r="J272" s="50"/>
      <c r="K272" s="51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50"/>
      <c r="I273" s="50"/>
      <c r="J273" s="50"/>
      <c r="K273" s="51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50"/>
      <c r="I274" s="50"/>
      <c r="J274" s="50"/>
      <c r="K274" s="51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50"/>
      <c r="I275" s="50"/>
      <c r="J275" s="50"/>
      <c r="K275" s="51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50"/>
      <c r="I276" s="50"/>
      <c r="J276" s="50"/>
      <c r="K276" s="51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50"/>
      <c r="I277" s="50"/>
      <c r="J277" s="50"/>
      <c r="K277" s="51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50"/>
      <c r="I278" s="50"/>
      <c r="J278" s="50"/>
      <c r="K278" s="51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50"/>
      <c r="I279" s="50"/>
      <c r="J279" s="50"/>
      <c r="K279" s="51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50"/>
      <c r="I280" s="50"/>
      <c r="J280" s="50"/>
      <c r="K280" s="51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50"/>
      <c r="I281" s="50"/>
      <c r="J281" s="50"/>
      <c r="K281" s="51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50"/>
      <c r="I282" s="50"/>
      <c r="J282" s="50"/>
      <c r="K282" s="51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50"/>
      <c r="I283" s="50"/>
      <c r="J283" s="50"/>
      <c r="K283" s="51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50"/>
      <c r="I284" s="50"/>
      <c r="J284" s="50"/>
      <c r="K284" s="51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50"/>
      <c r="I285" s="50"/>
      <c r="J285" s="50"/>
      <c r="K285" s="51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50"/>
      <c r="I286" s="50"/>
      <c r="J286" s="50"/>
      <c r="K286" s="51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50"/>
      <c r="I287" s="50"/>
      <c r="J287" s="50"/>
      <c r="K287" s="51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50"/>
      <c r="I288" s="50"/>
      <c r="J288" s="50"/>
      <c r="K288" s="51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50"/>
      <c r="I289" s="50"/>
      <c r="J289" s="50"/>
      <c r="K289" s="51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50"/>
      <c r="I290" s="50"/>
      <c r="J290" s="50"/>
      <c r="K290" s="51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50"/>
      <c r="I291" s="50"/>
      <c r="J291" s="50"/>
      <c r="K291" s="51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50"/>
      <c r="I292" s="50"/>
      <c r="J292" s="50"/>
      <c r="K292" s="51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50"/>
      <c r="I293" s="50"/>
      <c r="J293" s="50"/>
      <c r="K293" s="51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50"/>
      <c r="I294" s="50"/>
      <c r="J294" s="50"/>
      <c r="K294" s="51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50"/>
      <c r="I295" s="50"/>
      <c r="J295" s="50"/>
      <c r="K295" s="51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50"/>
      <c r="I296" s="50"/>
      <c r="J296" s="50"/>
      <c r="K296" s="51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50"/>
      <c r="I297" s="50"/>
      <c r="J297" s="50"/>
      <c r="K297" s="51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50"/>
      <c r="I298" s="50"/>
      <c r="J298" s="50"/>
      <c r="K298" s="51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50"/>
      <c r="I299" s="50"/>
      <c r="J299" s="50"/>
      <c r="K299" s="51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50"/>
      <c r="I300" s="50"/>
      <c r="J300" s="50"/>
      <c r="K300" s="51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50"/>
      <c r="I301" s="50"/>
      <c r="J301" s="50"/>
      <c r="K301" s="51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50"/>
      <c r="I302" s="50"/>
      <c r="J302" s="50"/>
      <c r="K302" s="51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50"/>
      <c r="I303" s="50"/>
      <c r="J303" s="50"/>
      <c r="K303" s="51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50"/>
      <c r="I304" s="50"/>
      <c r="J304" s="50"/>
      <c r="K304" s="51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50"/>
      <c r="I305" s="50"/>
      <c r="J305" s="50"/>
      <c r="K305" s="51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50"/>
      <c r="I306" s="50"/>
      <c r="J306" s="50"/>
      <c r="K306" s="51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50"/>
      <c r="I307" s="50"/>
      <c r="J307" s="50"/>
      <c r="K307" s="51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50"/>
      <c r="I308" s="50"/>
      <c r="J308" s="50"/>
      <c r="K308" s="51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50"/>
      <c r="I309" s="50"/>
      <c r="J309" s="50"/>
      <c r="K309" s="51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50"/>
      <c r="I310" s="50"/>
      <c r="J310" s="50"/>
      <c r="K310" s="51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50"/>
      <c r="I311" s="50"/>
      <c r="J311" s="50"/>
      <c r="K311" s="51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50"/>
      <c r="I312" s="50"/>
      <c r="J312" s="50"/>
      <c r="K312" s="51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50"/>
      <c r="I313" s="50"/>
      <c r="J313" s="50"/>
      <c r="K313" s="51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50"/>
      <c r="I314" s="50"/>
      <c r="J314" s="50"/>
      <c r="K314" s="51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50"/>
      <c r="I315" s="50"/>
      <c r="J315" s="50"/>
      <c r="K315" s="51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50"/>
      <c r="I316" s="50"/>
      <c r="J316" s="50"/>
      <c r="K316" s="51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50"/>
      <c r="I317" s="50"/>
      <c r="J317" s="50"/>
      <c r="K317" s="51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50"/>
      <c r="I318" s="50"/>
      <c r="J318" s="50"/>
      <c r="K318" s="51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50"/>
      <c r="I319" s="50"/>
      <c r="J319" s="50"/>
      <c r="K319" s="51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50"/>
      <c r="I320" s="50"/>
      <c r="J320" s="50"/>
      <c r="K320" s="51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50"/>
      <c r="I321" s="50"/>
      <c r="J321" s="50"/>
      <c r="K321" s="51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50"/>
      <c r="I322" s="50"/>
      <c r="J322" s="50"/>
      <c r="K322" s="51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50"/>
      <c r="I323" s="50"/>
      <c r="J323" s="50"/>
      <c r="K323" s="51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50"/>
      <c r="I324" s="50"/>
      <c r="J324" s="50"/>
      <c r="K324" s="51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50"/>
      <c r="I325" s="50"/>
      <c r="J325" s="50"/>
      <c r="K325" s="51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50"/>
      <c r="I326" s="50"/>
      <c r="J326" s="50"/>
      <c r="K326" s="51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50"/>
      <c r="I327" s="50"/>
      <c r="J327" s="50"/>
      <c r="K327" s="51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50"/>
      <c r="I328" s="50"/>
      <c r="J328" s="50"/>
      <c r="K328" s="51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50"/>
      <c r="I329" s="50"/>
      <c r="J329" s="50"/>
      <c r="K329" s="51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50"/>
      <c r="I330" s="50"/>
      <c r="J330" s="50"/>
      <c r="K330" s="51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50"/>
      <c r="I331" s="50"/>
      <c r="J331" s="50"/>
      <c r="K331" s="51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50"/>
      <c r="I332" s="50"/>
      <c r="J332" s="50"/>
      <c r="K332" s="51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50"/>
      <c r="I333" s="50"/>
      <c r="J333" s="50"/>
      <c r="K333" s="51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50"/>
      <c r="I334" s="50"/>
      <c r="J334" s="50"/>
      <c r="K334" s="51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50"/>
      <c r="I335" s="50"/>
      <c r="J335" s="50"/>
      <c r="K335" s="51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50"/>
      <c r="I336" s="50"/>
      <c r="J336" s="50"/>
      <c r="K336" s="51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50"/>
      <c r="I337" s="50"/>
      <c r="J337" s="50"/>
      <c r="K337" s="51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50"/>
      <c r="I338" s="50"/>
      <c r="J338" s="50"/>
      <c r="K338" s="51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50"/>
      <c r="I339" s="50"/>
      <c r="J339" s="50"/>
      <c r="K339" s="51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50"/>
      <c r="I340" s="50"/>
      <c r="J340" s="50"/>
      <c r="K340" s="51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50"/>
      <c r="I341" s="50"/>
      <c r="J341" s="50"/>
      <c r="K341" s="51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50"/>
      <c r="I342" s="50"/>
      <c r="J342" s="50"/>
      <c r="K342" s="51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50"/>
      <c r="I343" s="50"/>
      <c r="J343" s="50"/>
      <c r="K343" s="51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50"/>
      <c r="I344" s="50"/>
      <c r="J344" s="50"/>
      <c r="K344" s="51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50"/>
      <c r="I345" s="50"/>
      <c r="J345" s="50"/>
      <c r="K345" s="51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50"/>
      <c r="I346" s="50"/>
      <c r="J346" s="50"/>
      <c r="K346" s="51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50"/>
      <c r="I347" s="50"/>
      <c r="J347" s="50"/>
      <c r="K347" s="51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50"/>
      <c r="I348" s="50"/>
      <c r="J348" s="50"/>
      <c r="K348" s="51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50"/>
      <c r="I349" s="50"/>
      <c r="J349" s="50"/>
      <c r="K349" s="51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50"/>
      <c r="I350" s="50"/>
      <c r="J350" s="50"/>
      <c r="K350" s="51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50"/>
      <c r="I351" s="50"/>
      <c r="J351" s="50"/>
      <c r="K351" s="51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50"/>
      <c r="I352" s="50"/>
      <c r="J352" s="50"/>
      <c r="K352" s="51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50"/>
      <c r="I353" s="50"/>
      <c r="J353" s="50"/>
      <c r="K353" s="51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50"/>
      <c r="I354" s="50"/>
      <c r="J354" s="50"/>
      <c r="K354" s="51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50"/>
      <c r="I355" s="50"/>
      <c r="J355" s="50"/>
      <c r="K355" s="51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50"/>
      <c r="I356" s="50"/>
      <c r="J356" s="50"/>
      <c r="K356" s="51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50"/>
      <c r="I357" s="50"/>
      <c r="J357" s="50"/>
      <c r="K357" s="51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50"/>
      <c r="I358" s="50"/>
      <c r="J358" s="50"/>
      <c r="K358" s="51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50"/>
      <c r="I359" s="50"/>
      <c r="J359" s="50"/>
      <c r="K359" s="51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50"/>
      <c r="I360" s="50"/>
      <c r="J360" s="50"/>
      <c r="K360" s="51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50"/>
      <c r="I361" s="50"/>
      <c r="J361" s="50"/>
      <c r="K361" s="51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50"/>
      <c r="I362" s="50"/>
      <c r="J362" s="50"/>
      <c r="K362" s="51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50"/>
      <c r="I363" s="50"/>
      <c r="J363" s="50"/>
      <c r="K363" s="51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50"/>
      <c r="I364" s="50"/>
      <c r="J364" s="50"/>
      <c r="K364" s="51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50"/>
      <c r="I365" s="50"/>
      <c r="J365" s="50"/>
      <c r="K365" s="51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50"/>
      <c r="I366" s="50"/>
      <c r="J366" s="50"/>
      <c r="K366" s="51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50"/>
      <c r="I367" s="50"/>
      <c r="J367" s="50"/>
      <c r="K367" s="51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50"/>
      <c r="I368" s="50"/>
      <c r="J368" s="50"/>
      <c r="K368" s="51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50"/>
      <c r="I369" s="50"/>
      <c r="J369" s="50"/>
      <c r="K369" s="51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50"/>
      <c r="I370" s="50"/>
      <c r="J370" s="50"/>
      <c r="K370" s="51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50"/>
      <c r="I371" s="50"/>
      <c r="J371" s="50"/>
      <c r="K371" s="51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50"/>
      <c r="I372" s="50"/>
      <c r="J372" s="50"/>
      <c r="K372" s="51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50"/>
      <c r="I373" s="50"/>
      <c r="J373" s="50"/>
      <c r="K373" s="51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50"/>
      <c r="I374" s="50"/>
      <c r="J374" s="50"/>
      <c r="K374" s="51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50"/>
      <c r="I375" s="50"/>
      <c r="J375" s="50"/>
      <c r="K375" s="51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50"/>
      <c r="I376" s="50"/>
      <c r="J376" s="50"/>
      <c r="K376" s="51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50"/>
      <c r="I377" s="50"/>
      <c r="J377" s="50"/>
      <c r="K377" s="51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50"/>
      <c r="I378" s="50"/>
      <c r="J378" s="50"/>
      <c r="K378" s="51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50"/>
      <c r="I379" s="50"/>
      <c r="J379" s="50"/>
      <c r="K379" s="51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50"/>
      <c r="I380" s="50"/>
      <c r="J380" s="50"/>
      <c r="K380" s="51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50"/>
      <c r="I381" s="50"/>
      <c r="J381" s="50"/>
      <c r="K381" s="51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50"/>
      <c r="I382" s="50"/>
      <c r="J382" s="50"/>
      <c r="K382" s="51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50"/>
      <c r="I383" s="50"/>
      <c r="J383" s="50"/>
      <c r="K383" s="51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50"/>
      <c r="I384" s="50"/>
      <c r="J384" s="50"/>
      <c r="K384" s="51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50"/>
      <c r="I385" s="50"/>
      <c r="J385" s="50"/>
      <c r="K385" s="51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50"/>
      <c r="I386" s="50"/>
      <c r="J386" s="50"/>
      <c r="K386" s="51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50"/>
      <c r="I387" s="50"/>
      <c r="J387" s="50"/>
      <c r="K387" s="51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50"/>
      <c r="I388" s="50"/>
      <c r="J388" s="50"/>
      <c r="K388" s="51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50"/>
      <c r="I389" s="50"/>
      <c r="J389" s="50"/>
      <c r="K389" s="51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50"/>
      <c r="I390" s="50"/>
      <c r="J390" s="50"/>
      <c r="K390" s="51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50"/>
      <c r="I391" s="50"/>
      <c r="J391" s="50"/>
      <c r="K391" s="51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50"/>
      <c r="I392" s="50"/>
      <c r="J392" s="50"/>
      <c r="K392" s="51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50"/>
      <c r="I393" s="50"/>
      <c r="J393" s="50"/>
      <c r="K393" s="51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50"/>
      <c r="I394" s="50"/>
      <c r="J394" s="50"/>
      <c r="K394" s="51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50"/>
      <c r="I395" s="50"/>
      <c r="J395" s="50"/>
      <c r="K395" s="51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50"/>
      <c r="I396" s="50"/>
      <c r="J396" s="50"/>
      <c r="K396" s="51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50"/>
      <c r="I397" s="50"/>
      <c r="J397" s="50"/>
      <c r="K397" s="51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50"/>
      <c r="I398" s="50"/>
      <c r="J398" s="50"/>
      <c r="K398" s="51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50"/>
      <c r="I399" s="50"/>
      <c r="J399" s="50"/>
      <c r="K399" s="51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50"/>
      <c r="I400" s="50"/>
      <c r="J400" s="50"/>
      <c r="K400" s="51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50"/>
      <c r="I401" s="50"/>
      <c r="J401" s="50"/>
      <c r="K401" s="51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50"/>
      <c r="I402" s="50"/>
      <c r="J402" s="50"/>
      <c r="K402" s="51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50"/>
      <c r="I403" s="50"/>
      <c r="J403" s="50"/>
      <c r="K403" s="51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50"/>
      <c r="I404" s="50"/>
      <c r="J404" s="50"/>
      <c r="K404" s="51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50"/>
      <c r="I405" s="50"/>
      <c r="J405" s="50"/>
      <c r="K405" s="51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50"/>
      <c r="I406" s="50"/>
      <c r="J406" s="50"/>
      <c r="K406" s="51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50"/>
      <c r="I407" s="50"/>
      <c r="J407" s="50"/>
      <c r="K407" s="51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50"/>
      <c r="I408" s="50"/>
      <c r="J408" s="50"/>
      <c r="K408" s="51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50"/>
      <c r="I409" s="50"/>
      <c r="J409" s="50"/>
      <c r="K409" s="51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50"/>
      <c r="I410" s="50"/>
      <c r="J410" s="50"/>
      <c r="K410" s="51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50"/>
      <c r="I411" s="50"/>
      <c r="J411" s="50"/>
      <c r="K411" s="51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50"/>
      <c r="I412" s="50"/>
      <c r="J412" s="50"/>
      <c r="K412" s="51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50"/>
      <c r="I413" s="50"/>
      <c r="J413" s="50"/>
      <c r="K413" s="51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50"/>
      <c r="I414" s="50"/>
      <c r="J414" s="50"/>
      <c r="K414" s="51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50"/>
      <c r="I415" s="50"/>
      <c r="J415" s="50"/>
      <c r="K415" s="51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50"/>
      <c r="I416" s="50"/>
      <c r="J416" s="50"/>
      <c r="K416" s="51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50"/>
      <c r="I417" s="50"/>
      <c r="J417" s="50"/>
      <c r="K417" s="51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50"/>
      <c r="I418" s="50"/>
      <c r="J418" s="50"/>
      <c r="K418" s="51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50"/>
      <c r="I419" s="50"/>
      <c r="J419" s="50"/>
      <c r="K419" s="51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50"/>
      <c r="I420" s="50"/>
      <c r="J420" s="50"/>
      <c r="K420" s="51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50"/>
      <c r="I421" s="50"/>
      <c r="J421" s="50"/>
      <c r="K421" s="51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50"/>
      <c r="I422" s="50"/>
      <c r="J422" s="50"/>
      <c r="K422" s="51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50"/>
      <c r="I423" s="50"/>
      <c r="J423" s="50"/>
      <c r="K423" s="51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50"/>
      <c r="I424" s="50"/>
      <c r="J424" s="50"/>
      <c r="K424" s="51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50"/>
      <c r="I425" s="50"/>
      <c r="J425" s="50"/>
      <c r="K425" s="51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50"/>
      <c r="I426" s="50"/>
      <c r="J426" s="50"/>
      <c r="K426" s="51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50"/>
      <c r="I427" s="50"/>
      <c r="J427" s="50"/>
      <c r="K427" s="51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50"/>
      <c r="I428" s="50"/>
      <c r="J428" s="50"/>
      <c r="K428" s="51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50"/>
      <c r="I429" s="50"/>
      <c r="J429" s="50"/>
      <c r="K429" s="51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50"/>
      <c r="I430" s="50"/>
      <c r="J430" s="50"/>
      <c r="K430" s="51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50"/>
      <c r="I431" s="50"/>
      <c r="J431" s="50"/>
      <c r="K431" s="51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50"/>
      <c r="I432" s="50"/>
      <c r="J432" s="50"/>
      <c r="K432" s="51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50"/>
      <c r="I433" s="50"/>
      <c r="J433" s="50"/>
      <c r="K433" s="51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50"/>
      <c r="I434" s="50"/>
      <c r="J434" s="50"/>
      <c r="K434" s="51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50"/>
      <c r="I435" s="50"/>
      <c r="J435" s="50"/>
      <c r="K435" s="51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50"/>
      <c r="I436" s="50"/>
      <c r="J436" s="50"/>
      <c r="K436" s="51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50"/>
      <c r="I437" s="50"/>
      <c r="J437" s="50"/>
      <c r="K437" s="51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50"/>
      <c r="I438" s="50"/>
      <c r="J438" s="50"/>
      <c r="K438" s="51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50"/>
      <c r="I439" s="50"/>
      <c r="J439" s="50"/>
      <c r="K439" s="51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50"/>
      <c r="I440" s="50"/>
      <c r="J440" s="50"/>
      <c r="K440" s="51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50"/>
      <c r="I441" s="50"/>
      <c r="J441" s="50"/>
      <c r="K441" s="51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50"/>
      <c r="I442" s="50"/>
      <c r="J442" s="50"/>
      <c r="K442" s="51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50"/>
      <c r="I443" s="50"/>
      <c r="J443" s="50"/>
      <c r="K443" s="51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50"/>
      <c r="I444" s="50"/>
      <c r="J444" s="50"/>
      <c r="K444" s="51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50"/>
      <c r="I445" s="50"/>
      <c r="J445" s="50"/>
      <c r="K445" s="51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50"/>
      <c r="I446" s="50"/>
      <c r="J446" s="50"/>
      <c r="K446" s="51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50"/>
      <c r="I447" s="50"/>
      <c r="J447" s="50"/>
      <c r="K447" s="51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50"/>
      <c r="I448" s="50"/>
      <c r="J448" s="50"/>
      <c r="K448" s="51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50"/>
      <c r="I449" s="50"/>
      <c r="J449" s="50"/>
      <c r="K449" s="51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50"/>
      <c r="I450" s="50"/>
      <c r="J450" s="50"/>
      <c r="K450" s="51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50"/>
      <c r="I451" s="50"/>
      <c r="J451" s="50"/>
      <c r="K451" s="51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50"/>
      <c r="I452" s="50"/>
      <c r="J452" s="50"/>
      <c r="K452" s="51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50"/>
      <c r="I453" s="50"/>
      <c r="J453" s="50"/>
      <c r="K453" s="51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50"/>
      <c r="I454" s="50"/>
      <c r="J454" s="50"/>
      <c r="K454" s="51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50"/>
      <c r="I455" s="50"/>
      <c r="J455" s="50"/>
      <c r="K455" s="51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50"/>
      <c r="I456" s="50"/>
      <c r="J456" s="50"/>
      <c r="K456" s="51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50"/>
      <c r="I457" s="50"/>
      <c r="J457" s="50"/>
      <c r="K457" s="51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50"/>
      <c r="I458" s="50"/>
      <c r="J458" s="50"/>
      <c r="K458" s="51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50"/>
      <c r="I459" s="50"/>
      <c r="J459" s="50"/>
      <c r="K459" s="51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50"/>
      <c r="I460" s="50"/>
      <c r="J460" s="50"/>
      <c r="K460" s="51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50"/>
      <c r="I461" s="50"/>
      <c r="J461" s="50"/>
      <c r="K461" s="51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50"/>
      <c r="I462" s="50"/>
      <c r="J462" s="50"/>
      <c r="K462" s="51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50"/>
      <c r="I463" s="50"/>
      <c r="J463" s="50"/>
      <c r="K463" s="51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50"/>
      <c r="I464" s="50"/>
      <c r="J464" s="50"/>
      <c r="K464" s="51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50"/>
      <c r="I465" s="50"/>
      <c r="J465" s="50"/>
      <c r="K465" s="51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50"/>
      <c r="I466" s="50"/>
      <c r="J466" s="50"/>
      <c r="K466" s="51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50"/>
      <c r="I467" s="50"/>
      <c r="J467" s="50"/>
      <c r="K467" s="51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50"/>
      <c r="I468" s="50"/>
      <c r="J468" s="50"/>
      <c r="K468" s="51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50"/>
      <c r="I469" s="50"/>
      <c r="J469" s="50"/>
      <c r="K469" s="51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50"/>
      <c r="I470" s="50"/>
      <c r="J470" s="50"/>
      <c r="K470" s="51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50"/>
      <c r="I471" s="50"/>
      <c r="J471" s="50"/>
      <c r="K471" s="51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50"/>
      <c r="I472" s="50"/>
      <c r="J472" s="50"/>
      <c r="K472" s="51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50"/>
      <c r="I473" s="50"/>
      <c r="J473" s="50"/>
      <c r="K473" s="51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50"/>
      <c r="I474" s="50"/>
      <c r="J474" s="50"/>
      <c r="K474" s="51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50"/>
      <c r="I475" s="50"/>
      <c r="J475" s="50"/>
      <c r="K475" s="51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50"/>
      <c r="I476" s="50"/>
      <c r="J476" s="50"/>
      <c r="K476" s="51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50"/>
      <c r="I477" s="50"/>
      <c r="J477" s="50"/>
      <c r="K477" s="51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50"/>
      <c r="I478" s="50"/>
      <c r="J478" s="50"/>
      <c r="K478" s="51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50"/>
      <c r="I479" s="50"/>
      <c r="J479" s="50"/>
      <c r="K479" s="51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50"/>
      <c r="I480" s="50"/>
      <c r="J480" s="50"/>
      <c r="K480" s="51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50"/>
      <c r="I481" s="50"/>
      <c r="J481" s="50"/>
      <c r="K481" s="51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50"/>
      <c r="I482" s="50"/>
      <c r="J482" s="50"/>
      <c r="K482" s="51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50"/>
      <c r="I483" s="50"/>
      <c r="J483" s="50"/>
      <c r="K483" s="51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50"/>
      <c r="I484" s="50"/>
      <c r="J484" s="50"/>
      <c r="K484" s="51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50"/>
      <c r="I485" s="50"/>
      <c r="J485" s="50"/>
      <c r="K485" s="51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50"/>
      <c r="I486" s="50"/>
      <c r="J486" s="50"/>
      <c r="K486" s="51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50"/>
      <c r="I487" s="50"/>
      <c r="J487" s="50"/>
      <c r="K487" s="51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50"/>
      <c r="I488" s="50"/>
      <c r="J488" s="50"/>
      <c r="K488" s="51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50"/>
      <c r="I489" s="50"/>
      <c r="J489" s="50"/>
      <c r="K489" s="51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50"/>
      <c r="I490" s="50"/>
      <c r="J490" s="50"/>
      <c r="K490" s="51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50"/>
      <c r="I491" s="50"/>
      <c r="J491" s="50"/>
      <c r="K491" s="51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50"/>
      <c r="I492" s="50"/>
      <c r="J492" s="50"/>
      <c r="K492" s="51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50"/>
      <c r="I493" s="50"/>
      <c r="J493" s="50"/>
      <c r="K493" s="51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50"/>
      <c r="I494" s="50"/>
      <c r="J494" s="50"/>
      <c r="K494" s="51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50"/>
      <c r="I495" s="50"/>
      <c r="J495" s="50"/>
      <c r="K495" s="51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50"/>
      <c r="I496" s="50"/>
      <c r="J496" s="50"/>
      <c r="K496" s="51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50"/>
      <c r="I497" s="50"/>
      <c r="J497" s="50"/>
      <c r="K497" s="51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50"/>
      <c r="I498" s="50"/>
      <c r="J498" s="50"/>
      <c r="K498" s="51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50"/>
      <c r="I499" s="50"/>
      <c r="J499" s="50"/>
      <c r="K499" s="51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50"/>
      <c r="I500" s="50"/>
      <c r="J500" s="50"/>
      <c r="K500" s="51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50"/>
      <c r="I501" s="50"/>
      <c r="J501" s="50"/>
      <c r="K501" s="51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50"/>
      <c r="I502" s="50"/>
      <c r="J502" s="50"/>
      <c r="K502" s="51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50"/>
      <c r="I503" s="50"/>
      <c r="J503" s="50"/>
      <c r="K503" s="51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50"/>
      <c r="I504" s="50"/>
      <c r="J504" s="50"/>
      <c r="K504" s="51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50"/>
      <c r="I505" s="50"/>
      <c r="J505" s="50"/>
      <c r="K505" s="51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50"/>
      <c r="I506" s="50"/>
      <c r="J506" s="50"/>
      <c r="K506" s="51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50"/>
      <c r="I507" s="50"/>
      <c r="J507" s="50"/>
      <c r="K507" s="51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50"/>
      <c r="I508" s="50"/>
      <c r="J508" s="50"/>
      <c r="K508" s="51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50"/>
      <c r="I509" s="50"/>
      <c r="J509" s="50"/>
      <c r="K509" s="51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50"/>
      <c r="I510" s="50"/>
      <c r="J510" s="50"/>
      <c r="K510" s="51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50"/>
      <c r="I511" s="50"/>
      <c r="J511" s="50"/>
      <c r="K511" s="51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50"/>
      <c r="I512" s="50"/>
      <c r="J512" s="50"/>
      <c r="K512" s="51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50"/>
      <c r="I513" s="50"/>
      <c r="J513" s="50"/>
      <c r="K513" s="51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50"/>
      <c r="I514" s="50"/>
      <c r="J514" s="50"/>
      <c r="K514" s="51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50"/>
      <c r="I515" s="50"/>
      <c r="J515" s="50"/>
      <c r="K515" s="51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50"/>
      <c r="I516" s="50"/>
      <c r="J516" s="50"/>
      <c r="K516" s="51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50"/>
      <c r="I517" s="50"/>
      <c r="J517" s="50"/>
      <c r="K517" s="51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50"/>
      <c r="I518" s="50"/>
      <c r="J518" s="50"/>
      <c r="K518" s="51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50"/>
      <c r="I519" s="50"/>
      <c r="J519" s="50"/>
      <c r="K519" s="51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50"/>
      <c r="I520" s="50"/>
      <c r="J520" s="50"/>
      <c r="K520" s="51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50"/>
      <c r="I521" s="50"/>
      <c r="J521" s="50"/>
      <c r="K521" s="51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50"/>
      <c r="I522" s="50"/>
      <c r="J522" s="50"/>
      <c r="K522" s="51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50"/>
      <c r="I523" s="50"/>
      <c r="J523" s="50"/>
      <c r="K523" s="51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50"/>
      <c r="I524" s="50"/>
      <c r="J524" s="50"/>
      <c r="K524" s="51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50"/>
      <c r="I525" s="50"/>
      <c r="J525" s="50"/>
      <c r="K525" s="51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50"/>
      <c r="I526" s="50"/>
      <c r="J526" s="50"/>
      <c r="K526" s="51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50"/>
      <c r="I527" s="50"/>
      <c r="J527" s="50"/>
      <c r="K527" s="51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50"/>
      <c r="I528" s="50"/>
      <c r="J528" s="50"/>
      <c r="K528" s="51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50"/>
      <c r="I529" s="50"/>
      <c r="J529" s="50"/>
      <c r="K529" s="51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50"/>
      <c r="I530" s="50"/>
      <c r="J530" s="50"/>
      <c r="K530" s="51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50"/>
      <c r="I531" s="50"/>
      <c r="J531" s="50"/>
      <c r="K531" s="51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50"/>
      <c r="I532" s="50"/>
      <c r="J532" s="50"/>
      <c r="K532" s="51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50"/>
      <c r="I533" s="50"/>
      <c r="J533" s="50"/>
      <c r="K533" s="51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50"/>
      <c r="I534" s="50"/>
      <c r="J534" s="50"/>
      <c r="K534" s="51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50"/>
      <c r="I535" s="50"/>
      <c r="J535" s="50"/>
      <c r="K535" s="51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50"/>
      <c r="I536" s="50"/>
      <c r="J536" s="50"/>
      <c r="K536" s="51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50"/>
      <c r="I537" s="50"/>
      <c r="J537" s="50"/>
      <c r="K537" s="51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50"/>
      <c r="I538" s="50"/>
      <c r="J538" s="50"/>
      <c r="K538" s="51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50"/>
      <c r="I539" s="50"/>
      <c r="J539" s="50"/>
      <c r="K539" s="51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50"/>
      <c r="I540" s="50"/>
      <c r="J540" s="50"/>
      <c r="K540" s="51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50"/>
      <c r="I541" s="50"/>
      <c r="J541" s="50"/>
      <c r="K541" s="51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50"/>
      <c r="I542" s="50"/>
      <c r="J542" s="50"/>
      <c r="K542" s="51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50"/>
      <c r="I543" s="50"/>
      <c r="J543" s="50"/>
      <c r="K543" s="51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50"/>
      <c r="I544" s="50"/>
      <c r="J544" s="50"/>
      <c r="K544" s="51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50"/>
      <c r="I545" s="50"/>
      <c r="J545" s="50"/>
      <c r="K545" s="51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50"/>
      <c r="I546" s="50"/>
      <c r="J546" s="50"/>
      <c r="K546" s="51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50"/>
      <c r="I547" s="50"/>
      <c r="J547" s="50"/>
      <c r="K547" s="51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50"/>
      <c r="I548" s="50"/>
      <c r="J548" s="50"/>
      <c r="K548" s="51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50"/>
      <c r="I549" s="50"/>
      <c r="J549" s="50"/>
      <c r="K549" s="51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50"/>
      <c r="I550" s="50"/>
      <c r="J550" s="50"/>
      <c r="K550" s="51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50"/>
      <c r="I551" s="50"/>
      <c r="J551" s="50"/>
      <c r="K551" s="51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50"/>
      <c r="I552" s="50"/>
      <c r="J552" s="50"/>
      <c r="K552" s="51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50"/>
      <c r="I553" s="50"/>
      <c r="J553" s="50"/>
      <c r="K553" s="51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50"/>
      <c r="I554" s="50"/>
      <c r="J554" s="50"/>
      <c r="K554" s="51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50"/>
      <c r="I555" s="50"/>
      <c r="J555" s="50"/>
      <c r="K555" s="51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50"/>
      <c r="I556" s="50"/>
      <c r="J556" s="50"/>
      <c r="K556" s="51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50"/>
      <c r="I557" s="50"/>
      <c r="J557" s="50"/>
      <c r="K557" s="51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50"/>
      <c r="I558" s="50"/>
      <c r="J558" s="50"/>
      <c r="K558" s="51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50"/>
      <c r="I559" s="50"/>
      <c r="J559" s="50"/>
      <c r="K559" s="51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50"/>
      <c r="I560" s="50"/>
      <c r="J560" s="50"/>
      <c r="K560" s="51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50"/>
      <c r="I561" s="50"/>
      <c r="J561" s="50"/>
      <c r="K561" s="51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50"/>
      <c r="I562" s="50"/>
      <c r="J562" s="50"/>
      <c r="K562" s="51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50"/>
      <c r="I563" s="50"/>
      <c r="J563" s="50"/>
      <c r="K563" s="51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50"/>
      <c r="I564" s="50"/>
      <c r="J564" s="50"/>
      <c r="K564" s="51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50"/>
      <c r="I565" s="50"/>
      <c r="J565" s="50"/>
      <c r="K565" s="51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50"/>
      <c r="I566" s="50"/>
      <c r="J566" s="50"/>
      <c r="K566" s="51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50"/>
      <c r="I567" s="50"/>
      <c r="J567" s="50"/>
      <c r="K567" s="51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50"/>
      <c r="I568" s="50"/>
      <c r="J568" s="50"/>
      <c r="K568" s="51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50"/>
      <c r="I569" s="50"/>
      <c r="J569" s="50"/>
      <c r="K569" s="51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50"/>
      <c r="I570" s="50"/>
      <c r="J570" s="50"/>
      <c r="K570" s="51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50"/>
      <c r="I571" s="50"/>
      <c r="J571" s="50"/>
      <c r="K571" s="51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50"/>
      <c r="I572" s="50"/>
      <c r="J572" s="50"/>
      <c r="K572" s="51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50"/>
      <c r="I573" s="50"/>
      <c r="J573" s="50"/>
      <c r="K573" s="51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50"/>
      <c r="I574" s="50"/>
      <c r="J574" s="50"/>
      <c r="K574" s="51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50"/>
      <c r="I575" s="50"/>
      <c r="J575" s="50"/>
      <c r="K575" s="51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50"/>
      <c r="I576" s="50"/>
      <c r="J576" s="50"/>
      <c r="K576" s="51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50"/>
      <c r="I577" s="50"/>
      <c r="J577" s="50"/>
      <c r="K577" s="51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50"/>
      <c r="I578" s="50"/>
      <c r="J578" s="50"/>
      <c r="K578" s="51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50"/>
      <c r="I579" s="50"/>
      <c r="J579" s="50"/>
      <c r="K579" s="51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50"/>
      <c r="I580" s="50"/>
      <c r="J580" s="50"/>
      <c r="K580" s="51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50"/>
      <c r="I581" s="50"/>
      <c r="J581" s="50"/>
      <c r="K581" s="51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50"/>
      <c r="I582" s="50"/>
      <c r="J582" s="50"/>
      <c r="K582" s="51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50"/>
      <c r="I583" s="50"/>
      <c r="J583" s="50"/>
      <c r="K583" s="51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50"/>
      <c r="I584" s="50"/>
      <c r="J584" s="50"/>
      <c r="K584" s="51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50"/>
      <c r="I585" s="50"/>
      <c r="J585" s="50"/>
      <c r="K585" s="51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50"/>
      <c r="I586" s="50"/>
      <c r="J586" s="50"/>
      <c r="K586" s="51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50"/>
      <c r="I587" s="50"/>
      <c r="J587" s="50"/>
      <c r="K587" s="51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50"/>
      <c r="I588" s="50"/>
      <c r="J588" s="50"/>
      <c r="K588" s="51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50"/>
      <c r="I589" s="50"/>
      <c r="J589" s="50"/>
      <c r="K589" s="51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50"/>
      <c r="I590" s="50"/>
      <c r="J590" s="50"/>
      <c r="K590" s="51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50"/>
      <c r="I591" s="50"/>
      <c r="J591" s="50"/>
      <c r="K591" s="51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50"/>
      <c r="I592" s="50"/>
      <c r="J592" s="50"/>
      <c r="K592" s="51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50"/>
      <c r="I593" s="50"/>
      <c r="J593" s="50"/>
      <c r="K593" s="51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50"/>
      <c r="I594" s="50"/>
      <c r="J594" s="50"/>
      <c r="K594" s="51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50"/>
      <c r="I595" s="50"/>
      <c r="J595" s="50"/>
      <c r="K595" s="51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50"/>
      <c r="I596" s="50"/>
      <c r="J596" s="50"/>
      <c r="K596" s="51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50"/>
      <c r="I597" s="50"/>
      <c r="J597" s="50"/>
      <c r="K597" s="51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50"/>
      <c r="I598" s="50"/>
      <c r="J598" s="50"/>
      <c r="K598" s="51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50"/>
      <c r="I599" s="50"/>
      <c r="J599" s="50"/>
      <c r="K599" s="51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50"/>
      <c r="I600" s="50"/>
      <c r="J600" s="50"/>
      <c r="K600" s="51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50"/>
      <c r="I601" s="50"/>
      <c r="J601" s="50"/>
      <c r="K601" s="51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50"/>
      <c r="I602" s="50"/>
      <c r="J602" s="50"/>
      <c r="K602" s="51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50"/>
      <c r="I603" s="50"/>
      <c r="J603" s="50"/>
      <c r="K603" s="51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50"/>
      <c r="I604" s="50"/>
      <c r="J604" s="50"/>
      <c r="K604" s="51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50"/>
      <c r="I605" s="50"/>
      <c r="J605" s="50"/>
      <c r="K605" s="51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50"/>
      <c r="I606" s="50"/>
      <c r="J606" s="50"/>
      <c r="K606" s="51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50"/>
      <c r="I607" s="50"/>
      <c r="J607" s="50"/>
      <c r="K607" s="51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50"/>
      <c r="I608" s="50"/>
      <c r="J608" s="50"/>
      <c r="K608" s="51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50"/>
      <c r="I609" s="50"/>
      <c r="J609" s="50"/>
      <c r="K609" s="51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50"/>
      <c r="I610" s="50"/>
      <c r="J610" s="50"/>
      <c r="K610" s="51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50"/>
      <c r="I611" s="50"/>
      <c r="J611" s="50"/>
      <c r="K611" s="51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50"/>
      <c r="I612" s="50"/>
      <c r="J612" s="50"/>
      <c r="K612" s="51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50"/>
      <c r="I613" s="50"/>
      <c r="J613" s="50"/>
      <c r="K613" s="51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50"/>
      <c r="I614" s="50"/>
      <c r="J614" s="50"/>
      <c r="K614" s="51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50"/>
      <c r="I615" s="50"/>
      <c r="J615" s="50"/>
      <c r="K615" s="51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50"/>
      <c r="I616" s="50"/>
      <c r="J616" s="50"/>
      <c r="K616" s="51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50"/>
      <c r="I617" s="50"/>
      <c r="J617" s="50"/>
      <c r="K617" s="51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50"/>
      <c r="I618" s="50"/>
      <c r="J618" s="50"/>
      <c r="K618" s="51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50"/>
      <c r="I619" s="50"/>
      <c r="J619" s="50"/>
      <c r="K619" s="51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50"/>
      <c r="I620" s="50"/>
      <c r="J620" s="50"/>
      <c r="K620" s="51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50"/>
      <c r="I621" s="50"/>
      <c r="J621" s="50"/>
      <c r="K621" s="51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50"/>
      <c r="I622" s="50"/>
      <c r="J622" s="50"/>
      <c r="K622" s="51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50"/>
      <c r="I623" s="50"/>
      <c r="J623" s="50"/>
      <c r="K623" s="51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50"/>
      <c r="I624" s="50"/>
      <c r="J624" s="50"/>
      <c r="K624" s="51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50"/>
      <c r="I625" s="50"/>
      <c r="J625" s="50"/>
      <c r="K625" s="51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50"/>
      <c r="I626" s="50"/>
      <c r="J626" s="50"/>
      <c r="K626" s="51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50"/>
      <c r="I627" s="50"/>
      <c r="J627" s="50"/>
      <c r="K627" s="51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50"/>
      <c r="I628" s="50"/>
      <c r="J628" s="50"/>
      <c r="K628" s="51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50"/>
      <c r="I629" s="50"/>
      <c r="J629" s="50"/>
      <c r="K629" s="51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50"/>
      <c r="I630" s="50"/>
      <c r="J630" s="50"/>
      <c r="K630" s="51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50"/>
      <c r="I631" s="50"/>
      <c r="J631" s="50"/>
      <c r="K631" s="51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50"/>
      <c r="I632" s="50"/>
      <c r="J632" s="50"/>
      <c r="K632" s="51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50"/>
      <c r="I633" s="50"/>
      <c r="J633" s="50"/>
      <c r="K633" s="51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50"/>
      <c r="I634" s="50"/>
      <c r="J634" s="50"/>
      <c r="K634" s="51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50"/>
      <c r="I635" s="50"/>
      <c r="J635" s="50"/>
      <c r="K635" s="51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50"/>
      <c r="I636" s="50"/>
      <c r="J636" s="50"/>
      <c r="K636" s="51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50"/>
      <c r="I637" s="50"/>
      <c r="J637" s="50"/>
      <c r="K637" s="51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50"/>
      <c r="I638" s="50"/>
      <c r="J638" s="50"/>
      <c r="K638" s="51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50"/>
      <c r="I639" s="50"/>
      <c r="J639" s="50"/>
      <c r="K639" s="51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50"/>
      <c r="I640" s="50"/>
      <c r="J640" s="50"/>
      <c r="K640" s="51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50"/>
      <c r="I641" s="50"/>
      <c r="J641" s="50"/>
      <c r="K641" s="51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50"/>
      <c r="I642" s="50"/>
      <c r="J642" s="50"/>
      <c r="K642" s="51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50"/>
      <c r="I643" s="50"/>
      <c r="J643" s="50"/>
      <c r="K643" s="51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50"/>
      <c r="I644" s="50"/>
      <c r="J644" s="50"/>
      <c r="K644" s="51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50"/>
      <c r="I645" s="50"/>
      <c r="J645" s="50"/>
      <c r="K645" s="51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50"/>
      <c r="I646" s="50"/>
      <c r="J646" s="50"/>
      <c r="K646" s="51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50"/>
      <c r="I647" s="50"/>
      <c r="J647" s="50"/>
      <c r="K647" s="51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50"/>
      <c r="I648" s="50"/>
      <c r="J648" s="50"/>
      <c r="K648" s="51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50"/>
      <c r="I649" s="50"/>
      <c r="J649" s="50"/>
      <c r="K649" s="51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50"/>
      <c r="I650" s="50"/>
      <c r="J650" s="50"/>
      <c r="K650" s="51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50"/>
      <c r="I651" s="50"/>
      <c r="J651" s="50"/>
      <c r="K651" s="51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50"/>
      <c r="I652" s="50"/>
      <c r="J652" s="50"/>
      <c r="K652" s="51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50"/>
      <c r="I653" s="50"/>
      <c r="J653" s="50"/>
      <c r="K653" s="51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50"/>
      <c r="I654" s="50"/>
      <c r="J654" s="50"/>
      <c r="K654" s="51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50"/>
      <c r="I655" s="50"/>
      <c r="J655" s="50"/>
      <c r="K655" s="51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50"/>
      <c r="I656" s="50"/>
      <c r="J656" s="50"/>
      <c r="K656" s="51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50"/>
      <c r="I657" s="50"/>
      <c r="J657" s="50"/>
      <c r="K657" s="51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50"/>
      <c r="I658" s="50"/>
      <c r="J658" s="50"/>
      <c r="K658" s="51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50"/>
      <c r="I659" s="50"/>
      <c r="J659" s="50"/>
      <c r="K659" s="51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50"/>
      <c r="I660" s="50"/>
      <c r="J660" s="50"/>
      <c r="K660" s="51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50"/>
      <c r="I661" s="50"/>
      <c r="J661" s="50"/>
      <c r="K661" s="51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50"/>
      <c r="I662" s="50"/>
      <c r="J662" s="50"/>
      <c r="K662" s="51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50"/>
      <c r="I663" s="50"/>
      <c r="J663" s="50"/>
      <c r="K663" s="51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50"/>
      <c r="I664" s="50"/>
      <c r="J664" s="50"/>
      <c r="K664" s="51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50"/>
      <c r="I665" s="50"/>
      <c r="J665" s="50"/>
      <c r="K665" s="51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50"/>
      <c r="I666" s="50"/>
      <c r="J666" s="50"/>
      <c r="K666" s="51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50"/>
      <c r="I667" s="50"/>
      <c r="J667" s="50"/>
      <c r="K667" s="51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50"/>
      <c r="I668" s="50"/>
      <c r="J668" s="50"/>
      <c r="K668" s="51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50"/>
      <c r="I669" s="50"/>
      <c r="J669" s="50"/>
      <c r="K669" s="51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50"/>
      <c r="I670" s="50"/>
      <c r="J670" s="50"/>
      <c r="K670" s="51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50"/>
      <c r="I671" s="50"/>
      <c r="J671" s="50"/>
      <c r="K671" s="51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50"/>
      <c r="I672" s="50"/>
      <c r="J672" s="50"/>
      <c r="K672" s="51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50"/>
      <c r="I673" s="50"/>
      <c r="J673" s="50"/>
      <c r="K673" s="51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50"/>
      <c r="I674" s="50"/>
      <c r="J674" s="50"/>
      <c r="K674" s="51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50"/>
      <c r="I675" s="50"/>
      <c r="J675" s="50"/>
      <c r="K675" s="51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50"/>
      <c r="I676" s="50"/>
      <c r="J676" s="50"/>
      <c r="K676" s="51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50"/>
      <c r="I677" s="50"/>
      <c r="J677" s="50"/>
      <c r="K677" s="51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50"/>
      <c r="I678" s="50"/>
      <c r="J678" s="50"/>
      <c r="K678" s="51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50"/>
      <c r="I679" s="50"/>
      <c r="J679" s="50"/>
      <c r="K679" s="51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50"/>
      <c r="I680" s="50"/>
      <c r="J680" s="50"/>
      <c r="K680" s="51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50"/>
      <c r="I681" s="50"/>
      <c r="J681" s="50"/>
      <c r="K681" s="51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50"/>
      <c r="I682" s="50"/>
      <c r="J682" s="50"/>
      <c r="K682" s="51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50"/>
      <c r="I683" s="50"/>
      <c r="J683" s="50"/>
      <c r="K683" s="51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50"/>
      <c r="I684" s="50"/>
      <c r="J684" s="50"/>
      <c r="K684" s="51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50"/>
      <c r="I685" s="50"/>
      <c r="J685" s="50"/>
      <c r="K685" s="51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50"/>
      <c r="I686" s="50"/>
      <c r="J686" s="50"/>
      <c r="K686" s="51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50"/>
      <c r="I687" s="50"/>
      <c r="J687" s="50"/>
      <c r="K687" s="51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50"/>
      <c r="I688" s="50"/>
      <c r="J688" s="50"/>
      <c r="K688" s="51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50"/>
      <c r="I689" s="50"/>
      <c r="J689" s="50"/>
      <c r="K689" s="51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50"/>
      <c r="I690" s="50"/>
      <c r="J690" s="50"/>
      <c r="K690" s="51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50"/>
      <c r="I691" s="50"/>
      <c r="J691" s="50"/>
      <c r="K691" s="51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50"/>
      <c r="I692" s="50"/>
      <c r="J692" s="50"/>
      <c r="K692" s="51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50"/>
      <c r="I693" s="50"/>
      <c r="J693" s="50"/>
      <c r="K693" s="51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50"/>
      <c r="I694" s="50"/>
      <c r="J694" s="50"/>
      <c r="K694" s="51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50"/>
      <c r="I695" s="50"/>
      <c r="J695" s="50"/>
      <c r="K695" s="51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50"/>
      <c r="I696" s="50"/>
      <c r="J696" s="50"/>
      <c r="K696" s="51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50"/>
      <c r="I697" s="50"/>
      <c r="J697" s="50"/>
      <c r="K697" s="51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50"/>
      <c r="I698" s="50"/>
      <c r="J698" s="50"/>
      <c r="K698" s="51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50"/>
      <c r="I699" s="50"/>
      <c r="J699" s="50"/>
      <c r="K699" s="51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50"/>
      <c r="I700" s="50"/>
      <c r="J700" s="50"/>
      <c r="K700" s="51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50"/>
      <c r="I701" s="50"/>
      <c r="J701" s="50"/>
      <c r="K701" s="51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50"/>
      <c r="I702" s="50"/>
      <c r="J702" s="50"/>
      <c r="K702" s="51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50"/>
      <c r="I703" s="50"/>
      <c r="J703" s="50"/>
      <c r="K703" s="51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50"/>
      <c r="I704" s="50"/>
      <c r="J704" s="50"/>
      <c r="K704" s="51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50"/>
      <c r="I705" s="50"/>
      <c r="J705" s="50"/>
      <c r="K705" s="51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50"/>
      <c r="I706" s="50"/>
      <c r="J706" s="50"/>
      <c r="K706" s="51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50"/>
      <c r="I707" s="50"/>
      <c r="J707" s="50"/>
      <c r="K707" s="51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50"/>
      <c r="I708" s="50"/>
      <c r="J708" s="50"/>
      <c r="K708" s="51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50"/>
      <c r="I709" s="50"/>
      <c r="J709" s="50"/>
      <c r="K709" s="51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50"/>
      <c r="I710" s="50"/>
      <c r="J710" s="50"/>
      <c r="K710" s="51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50"/>
      <c r="I711" s="50"/>
      <c r="J711" s="50"/>
      <c r="K711" s="51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50"/>
      <c r="I712" s="50"/>
      <c r="J712" s="50"/>
      <c r="K712" s="51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50"/>
      <c r="I713" s="50"/>
      <c r="J713" s="50"/>
      <c r="K713" s="51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50"/>
      <c r="I714" s="50"/>
      <c r="J714" s="50"/>
      <c r="K714" s="51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50"/>
      <c r="I715" s="50"/>
      <c r="J715" s="50"/>
      <c r="K715" s="51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50"/>
      <c r="I716" s="50"/>
      <c r="J716" s="50"/>
      <c r="K716" s="51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50"/>
      <c r="I717" s="50"/>
      <c r="J717" s="50"/>
      <c r="K717" s="51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50"/>
      <c r="I718" s="50"/>
      <c r="J718" s="50"/>
      <c r="K718" s="51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50"/>
      <c r="I719" s="50"/>
      <c r="J719" s="50"/>
      <c r="K719" s="51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50"/>
      <c r="I720" s="50"/>
      <c r="J720" s="50"/>
      <c r="K720" s="51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50"/>
      <c r="I721" s="50"/>
      <c r="J721" s="50"/>
      <c r="K721" s="51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50"/>
      <c r="I722" s="50"/>
      <c r="J722" s="50"/>
      <c r="K722" s="51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50"/>
      <c r="I723" s="50"/>
      <c r="J723" s="50"/>
      <c r="K723" s="51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50"/>
      <c r="I724" s="50"/>
      <c r="J724" s="50"/>
      <c r="K724" s="51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50"/>
      <c r="I725" s="50"/>
      <c r="J725" s="50"/>
      <c r="K725" s="51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50"/>
      <c r="I726" s="50"/>
      <c r="J726" s="50"/>
      <c r="K726" s="51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50"/>
      <c r="I727" s="50"/>
      <c r="J727" s="50"/>
      <c r="K727" s="51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50"/>
      <c r="I728" s="50"/>
      <c r="J728" s="50"/>
      <c r="K728" s="51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50"/>
      <c r="I729" s="50"/>
      <c r="J729" s="50"/>
      <c r="K729" s="51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50"/>
      <c r="I730" s="50"/>
      <c r="J730" s="50"/>
      <c r="K730" s="51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50"/>
      <c r="I731" s="50"/>
      <c r="J731" s="50"/>
      <c r="K731" s="51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50"/>
      <c r="I732" s="50"/>
      <c r="J732" s="50"/>
      <c r="K732" s="51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50"/>
      <c r="I733" s="50"/>
      <c r="J733" s="50"/>
      <c r="K733" s="51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50"/>
      <c r="I734" s="50"/>
      <c r="J734" s="50"/>
      <c r="K734" s="51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50"/>
      <c r="I735" s="50"/>
      <c r="J735" s="50"/>
      <c r="K735" s="51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50"/>
      <c r="I736" s="50"/>
      <c r="J736" s="50"/>
      <c r="K736" s="51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50"/>
      <c r="I737" s="50"/>
      <c r="J737" s="50"/>
      <c r="K737" s="51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50"/>
      <c r="I738" s="50"/>
      <c r="J738" s="50"/>
      <c r="K738" s="51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50"/>
      <c r="I739" s="50"/>
      <c r="J739" s="50"/>
      <c r="K739" s="51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50"/>
      <c r="I740" s="50"/>
      <c r="J740" s="50"/>
      <c r="K740" s="51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50"/>
      <c r="I741" s="50"/>
      <c r="J741" s="50"/>
      <c r="K741" s="51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50"/>
      <c r="I742" s="50"/>
      <c r="J742" s="50"/>
      <c r="K742" s="51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50"/>
      <c r="I743" s="50"/>
      <c r="J743" s="50"/>
      <c r="K743" s="51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50"/>
      <c r="I744" s="50"/>
      <c r="J744" s="50"/>
      <c r="K744" s="51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50"/>
      <c r="I745" s="50"/>
      <c r="J745" s="50"/>
      <c r="K745" s="51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50"/>
      <c r="I746" s="50"/>
      <c r="J746" s="50"/>
      <c r="K746" s="51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50"/>
      <c r="I747" s="50"/>
      <c r="J747" s="50"/>
      <c r="K747" s="51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50"/>
      <c r="I748" s="50"/>
      <c r="J748" s="50"/>
      <c r="K748" s="51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50"/>
      <c r="I749" s="50"/>
      <c r="J749" s="50"/>
      <c r="K749" s="51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50"/>
      <c r="I750" s="50"/>
      <c r="J750" s="50"/>
      <c r="K750" s="51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50"/>
      <c r="I751" s="50"/>
      <c r="J751" s="50"/>
      <c r="K751" s="51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50"/>
      <c r="I752" s="50"/>
      <c r="J752" s="50"/>
      <c r="K752" s="51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50"/>
      <c r="I753" s="50"/>
      <c r="J753" s="50"/>
      <c r="K753" s="51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50"/>
      <c r="I754" s="50"/>
      <c r="J754" s="50"/>
      <c r="K754" s="51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50"/>
      <c r="I755" s="50"/>
      <c r="J755" s="50"/>
      <c r="K755" s="51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50"/>
      <c r="I756" s="50"/>
      <c r="J756" s="50"/>
      <c r="K756" s="51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50"/>
      <c r="I757" s="50"/>
      <c r="J757" s="50"/>
      <c r="K757" s="51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50"/>
      <c r="I758" s="50"/>
      <c r="J758" s="50"/>
      <c r="K758" s="51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50"/>
      <c r="I759" s="50"/>
      <c r="J759" s="50"/>
      <c r="K759" s="51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50"/>
      <c r="I760" s="50"/>
      <c r="J760" s="50"/>
      <c r="K760" s="51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50"/>
      <c r="I761" s="50"/>
      <c r="J761" s="50"/>
      <c r="K761" s="51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50"/>
      <c r="I762" s="50"/>
      <c r="J762" s="50"/>
      <c r="K762" s="51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50"/>
      <c r="I763" s="50"/>
      <c r="J763" s="50"/>
      <c r="K763" s="51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50"/>
      <c r="I764" s="50"/>
      <c r="J764" s="50"/>
      <c r="K764" s="51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50"/>
      <c r="I765" s="50"/>
      <c r="J765" s="50"/>
      <c r="K765" s="51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50"/>
      <c r="I766" s="50"/>
      <c r="J766" s="50"/>
      <c r="K766" s="51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50"/>
      <c r="I767" s="50"/>
      <c r="J767" s="50"/>
      <c r="K767" s="51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50"/>
      <c r="I768" s="50"/>
      <c r="J768" s="50"/>
      <c r="K768" s="51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50"/>
      <c r="I769" s="50"/>
      <c r="J769" s="50"/>
      <c r="K769" s="51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50"/>
      <c r="I770" s="50"/>
      <c r="J770" s="50"/>
      <c r="K770" s="51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50"/>
      <c r="I771" s="50"/>
      <c r="J771" s="50"/>
      <c r="K771" s="51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50"/>
      <c r="I772" s="50"/>
      <c r="J772" s="50"/>
      <c r="K772" s="51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50"/>
      <c r="I773" s="50"/>
      <c r="J773" s="50"/>
      <c r="K773" s="51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50"/>
      <c r="I774" s="50"/>
      <c r="J774" s="50"/>
      <c r="K774" s="51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50"/>
      <c r="I775" s="50"/>
      <c r="J775" s="50"/>
      <c r="K775" s="51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50"/>
      <c r="I776" s="50"/>
      <c r="J776" s="50"/>
      <c r="K776" s="51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50"/>
      <c r="I777" s="50"/>
      <c r="J777" s="50"/>
      <c r="K777" s="51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50"/>
      <c r="I778" s="50"/>
      <c r="J778" s="50"/>
      <c r="K778" s="51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50"/>
      <c r="I779" s="50"/>
      <c r="J779" s="50"/>
      <c r="K779" s="51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50"/>
      <c r="I780" s="50"/>
      <c r="J780" s="50"/>
      <c r="K780" s="51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50"/>
      <c r="I781" s="50"/>
      <c r="J781" s="50"/>
      <c r="K781" s="51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50"/>
      <c r="I782" s="50"/>
      <c r="J782" s="50"/>
      <c r="K782" s="51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50"/>
      <c r="I783" s="50"/>
      <c r="J783" s="50"/>
      <c r="K783" s="51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50"/>
      <c r="I784" s="50"/>
      <c r="J784" s="50"/>
      <c r="K784" s="51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50"/>
      <c r="I785" s="50"/>
      <c r="J785" s="50"/>
      <c r="K785" s="51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50"/>
      <c r="I786" s="50"/>
      <c r="J786" s="50"/>
      <c r="K786" s="51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50"/>
      <c r="I787" s="50"/>
      <c r="J787" s="50"/>
      <c r="K787" s="51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50"/>
      <c r="I788" s="50"/>
      <c r="J788" s="50"/>
      <c r="K788" s="51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50"/>
      <c r="I789" s="50"/>
      <c r="J789" s="50"/>
      <c r="K789" s="51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50"/>
      <c r="I790" s="50"/>
      <c r="J790" s="50"/>
      <c r="K790" s="51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50"/>
      <c r="I791" s="50"/>
      <c r="J791" s="50"/>
      <c r="K791" s="51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50"/>
      <c r="I792" s="50"/>
      <c r="J792" s="50"/>
      <c r="K792" s="51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50"/>
      <c r="I793" s="50"/>
      <c r="J793" s="50"/>
      <c r="K793" s="51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50"/>
      <c r="I794" s="50"/>
      <c r="J794" s="50"/>
      <c r="K794" s="51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50"/>
      <c r="I795" s="50"/>
      <c r="J795" s="50"/>
      <c r="K795" s="51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50"/>
      <c r="I796" s="50"/>
      <c r="J796" s="50"/>
      <c r="K796" s="51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50"/>
      <c r="I797" s="50"/>
      <c r="J797" s="50"/>
      <c r="K797" s="51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50"/>
      <c r="I798" s="50"/>
      <c r="J798" s="50"/>
      <c r="K798" s="51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50"/>
      <c r="I799" s="50"/>
      <c r="J799" s="50"/>
      <c r="K799" s="51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50"/>
      <c r="I800" s="50"/>
      <c r="J800" s="50"/>
      <c r="K800" s="51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50"/>
      <c r="I801" s="50"/>
      <c r="J801" s="50"/>
      <c r="K801" s="51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50"/>
      <c r="I802" s="50"/>
      <c r="J802" s="50"/>
      <c r="K802" s="51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50"/>
      <c r="I803" s="50"/>
      <c r="J803" s="50"/>
      <c r="K803" s="51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50"/>
      <c r="I804" s="50"/>
      <c r="J804" s="50"/>
      <c r="K804" s="51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50"/>
      <c r="I805" s="50"/>
      <c r="J805" s="50"/>
      <c r="K805" s="51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50"/>
      <c r="I806" s="50"/>
      <c r="J806" s="50"/>
      <c r="K806" s="51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50"/>
      <c r="I807" s="50"/>
      <c r="J807" s="50"/>
      <c r="K807" s="51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50"/>
      <c r="I808" s="50"/>
      <c r="J808" s="50"/>
      <c r="K808" s="51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50"/>
      <c r="I809" s="50"/>
      <c r="J809" s="50"/>
      <c r="K809" s="51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50"/>
      <c r="I810" s="50"/>
      <c r="J810" s="50"/>
      <c r="K810" s="51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50"/>
      <c r="I811" s="50"/>
      <c r="J811" s="50"/>
      <c r="K811" s="51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50"/>
      <c r="I812" s="50"/>
      <c r="J812" s="50"/>
      <c r="K812" s="51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50"/>
      <c r="I813" s="50"/>
      <c r="J813" s="50"/>
      <c r="K813" s="51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50"/>
      <c r="I814" s="50"/>
      <c r="J814" s="50"/>
      <c r="K814" s="51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50"/>
      <c r="I815" s="50"/>
      <c r="J815" s="50"/>
      <c r="K815" s="51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50"/>
      <c r="I816" s="50"/>
      <c r="J816" s="50"/>
      <c r="K816" s="51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50"/>
      <c r="I817" s="50"/>
      <c r="J817" s="50"/>
      <c r="K817" s="51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50"/>
      <c r="I818" s="50"/>
      <c r="J818" s="50"/>
      <c r="K818" s="51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50"/>
      <c r="I819" s="50"/>
      <c r="J819" s="50"/>
      <c r="K819" s="51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50"/>
      <c r="I820" s="50"/>
      <c r="J820" s="50"/>
      <c r="K820" s="51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50"/>
      <c r="I821" s="50"/>
      <c r="J821" s="50"/>
      <c r="K821" s="51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50"/>
      <c r="I822" s="50"/>
      <c r="J822" s="50"/>
      <c r="K822" s="51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50"/>
      <c r="I823" s="50"/>
      <c r="J823" s="50"/>
      <c r="K823" s="51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50"/>
      <c r="I824" s="50"/>
      <c r="J824" s="50"/>
      <c r="K824" s="51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50"/>
      <c r="I825" s="50"/>
      <c r="J825" s="50"/>
      <c r="K825" s="51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50"/>
      <c r="I826" s="50"/>
      <c r="J826" s="50"/>
      <c r="K826" s="51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50"/>
      <c r="I827" s="50"/>
      <c r="J827" s="50"/>
      <c r="K827" s="51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50"/>
      <c r="I828" s="50"/>
      <c r="J828" s="50"/>
      <c r="K828" s="51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50"/>
      <c r="I829" s="50"/>
      <c r="J829" s="50"/>
      <c r="K829" s="51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50"/>
      <c r="I830" s="50"/>
      <c r="J830" s="50"/>
      <c r="K830" s="51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50"/>
      <c r="I831" s="50"/>
      <c r="J831" s="50"/>
      <c r="K831" s="51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50"/>
      <c r="I832" s="50"/>
      <c r="J832" s="50"/>
      <c r="K832" s="51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50"/>
      <c r="I833" s="50"/>
      <c r="J833" s="50"/>
      <c r="K833" s="51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50"/>
      <c r="I834" s="50"/>
      <c r="J834" s="50"/>
      <c r="K834" s="51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50"/>
      <c r="I835" s="50"/>
      <c r="J835" s="50"/>
      <c r="K835" s="51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50"/>
      <c r="I836" s="50"/>
      <c r="J836" s="50"/>
      <c r="K836" s="51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50"/>
      <c r="I837" s="50"/>
      <c r="J837" s="50"/>
      <c r="K837" s="51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50"/>
      <c r="I838" s="50"/>
      <c r="J838" s="50"/>
      <c r="K838" s="51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50"/>
      <c r="I839" s="50"/>
      <c r="J839" s="50"/>
      <c r="K839" s="51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50"/>
      <c r="I840" s="50"/>
      <c r="J840" s="50"/>
      <c r="K840" s="51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50"/>
      <c r="I841" s="50"/>
      <c r="J841" s="50"/>
      <c r="K841" s="51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50"/>
      <c r="I842" s="50"/>
      <c r="J842" s="50"/>
      <c r="K842" s="51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50"/>
      <c r="I843" s="50"/>
      <c r="J843" s="50"/>
      <c r="K843" s="51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50"/>
      <c r="I844" s="50"/>
      <c r="J844" s="50"/>
      <c r="K844" s="51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50"/>
      <c r="I845" s="50"/>
      <c r="J845" s="50"/>
      <c r="K845" s="51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50"/>
      <c r="I846" s="50"/>
      <c r="J846" s="50"/>
      <c r="K846" s="51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50"/>
      <c r="I847" s="50"/>
      <c r="J847" s="50"/>
      <c r="K847" s="51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50"/>
      <c r="I848" s="50"/>
      <c r="J848" s="50"/>
      <c r="K848" s="51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50"/>
      <c r="I849" s="50"/>
      <c r="J849" s="50"/>
      <c r="K849" s="51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50"/>
      <c r="I850" s="50"/>
      <c r="J850" s="50"/>
      <c r="K850" s="51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50"/>
      <c r="I851" s="50"/>
      <c r="J851" s="50"/>
      <c r="K851" s="51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50"/>
      <c r="I852" s="50"/>
      <c r="J852" s="50"/>
      <c r="K852" s="51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50"/>
      <c r="I853" s="50"/>
      <c r="J853" s="50"/>
      <c r="K853" s="51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50"/>
      <c r="I854" s="50"/>
      <c r="J854" s="50"/>
      <c r="K854" s="51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50"/>
      <c r="I855" s="50"/>
      <c r="J855" s="50"/>
      <c r="K855" s="51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50"/>
      <c r="I856" s="50"/>
      <c r="J856" s="50"/>
      <c r="K856" s="51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50"/>
      <c r="I857" s="50"/>
      <c r="J857" s="50"/>
      <c r="K857" s="51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50"/>
      <c r="I858" s="50"/>
      <c r="J858" s="50"/>
      <c r="K858" s="51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50"/>
      <c r="I859" s="50"/>
      <c r="J859" s="50"/>
      <c r="K859" s="51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50"/>
      <c r="I860" s="50"/>
      <c r="J860" s="50"/>
      <c r="K860" s="51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50"/>
      <c r="I861" s="50"/>
      <c r="J861" s="50"/>
      <c r="K861" s="51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50"/>
      <c r="I862" s="50"/>
      <c r="J862" s="50"/>
      <c r="K862" s="51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50"/>
      <c r="I863" s="50"/>
      <c r="J863" s="50"/>
      <c r="K863" s="51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50"/>
      <c r="I864" s="50"/>
      <c r="J864" s="50"/>
      <c r="K864" s="51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50"/>
      <c r="I865" s="50"/>
      <c r="J865" s="50"/>
      <c r="K865" s="51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50"/>
      <c r="I866" s="50"/>
      <c r="J866" s="50"/>
      <c r="K866" s="51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50"/>
      <c r="I867" s="50"/>
      <c r="J867" s="50"/>
      <c r="K867" s="51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50"/>
      <c r="I868" s="50"/>
      <c r="J868" s="50"/>
      <c r="K868" s="51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50"/>
      <c r="I869" s="50"/>
      <c r="J869" s="50"/>
      <c r="K869" s="51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50"/>
      <c r="I870" s="50"/>
      <c r="J870" s="50"/>
      <c r="K870" s="51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50"/>
      <c r="I871" s="50"/>
      <c r="J871" s="50"/>
      <c r="K871" s="51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50"/>
      <c r="I872" s="50"/>
      <c r="J872" s="50"/>
      <c r="K872" s="51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50"/>
      <c r="I873" s="50"/>
      <c r="J873" s="50"/>
      <c r="K873" s="51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50"/>
      <c r="I874" s="50"/>
      <c r="J874" s="50"/>
      <c r="K874" s="51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50"/>
      <c r="I875" s="50"/>
      <c r="J875" s="50"/>
      <c r="K875" s="51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50"/>
      <c r="I876" s="50"/>
      <c r="J876" s="50"/>
      <c r="K876" s="51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50"/>
      <c r="I877" s="50"/>
      <c r="J877" s="50"/>
      <c r="K877" s="51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50"/>
      <c r="I878" s="50"/>
      <c r="J878" s="50"/>
      <c r="K878" s="51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50"/>
      <c r="I879" s="50"/>
      <c r="J879" s="50"/>
      <c r="K879" s="51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50"/>
      <c r="I880" s="50"/>
      <c r="J880" s="50"/>
      <c r="K880" s="51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50"/>
      <c r="I881" s="50"/>
      <c r="J881" s="50"/>
      <c r="K881" s="51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50"/>
      <c r="I882" s="50"/>
      <c r="J882" s="50"/>
      <c r="K882" s="51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50"/>
      <c r="I883" s="50"/>
      <c r="J883" s="50"/>
      <c r="K883" s="51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50"/>
      <c r="I884" s="50"/>
      <c r="J884" s="50"/>
      <c r="K884" s="51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50"/>
      <c r="I885" s="50"/>
      <c r="J885" s="50"/>
      <c r="K885" s="51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50"/>
      <c r="I886" s="50"/>
      <c r="J886" s="50"/>
      <c r="K886" s="51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50"/>
      <c r="I887" s="50"/>
      <c r="J887" s="50"/>
      <c r="K887" s="51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50"/>
      <c r="I888" s="50"/>
      <c r="J888" s="50"/>
      <c r="K888" s="51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50"/>
      <c r="I889" s="50"/>
      <c r="J889" s="50"/>
      <c r="K889" s="51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50"/>
      <c r="I890" s="50"/>
      <c r="J890" s="50"/>
      <c r="K890" s="51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50"/>
      <c r="I891" s="50"/>
      <c r="J891" s="50"/>
      <c r="K891" s="51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50"/>
      <c r="I892" s="50"/>
      <c r="J892" s="50"/>
      <c r="K892" s="51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50"/>
      <c r="I893" s="50"/>
      <c r="J893" s="50"/>
      <c r="K893" s="51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50"/>
      <c r="I894" s="50"/>
      <c r="J894" s="50"/>
      <c r="K894" s="51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50"/>
      <c r="I895" s="50"/>
      <c r="J895" s="50"/>
      <c r="K895" s="51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50"/>
      <c r="I896" s="50"/>
      <c r="J896" s="50"/>
      <c r="K896" s="51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50"/>
      <c r="I897" s="50"/>
      <c r="J897" s="50"/>
      <c r="K897" s="51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50"/>
      <c r="I898" s="50"/>
      <c r="J898" s="50"/>
      <c r="K898" s="51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50"/>
      <c r="I899" s="50"/>
      <c r="J899" s="50"/>
      <c r="K899" s="51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50"/>
      <c r="I900" s="50"/>
      <c r="J900" s="50"/>
      <c r="K900" s="51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50"/>
      <c r="I901" s="50"/>
      <c r="J901" s="50"/>
      <c r="K901" s="51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50"/>
      <c r="I902" s="50"/>
      <c r="J902" s="50"/>
      <c r="K902" s="51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50"/>
      <c r="I903" s="50"/>
      <c r="J903" s="50"/>
      <c r="K903" s="51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50"/>
      <c r="I904" s="50"/>
      <c r="J904" s="50"/>
      <c r="K904" s="51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50"/>
      <c r="I905" s="50"/>
      <c r="J905" s="50"/>
      <c r="K905" s="51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50"/>
      <c r="I906" s="50"/>
      <c r="J906" s="50"/>
      <c r="K906" s="51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50"/>
      <c r="I907" s="50"/>
      <c r="J907" s="50"/>
      <c r="K907" s="51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50"/>
      <c r="I908" s="50"/>
      <c r="J908" s="50"/>
      <c r="K908" s="51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50"/>
      <c r="I909" s="50"/>
      <c r="J909" s="50"/>
      <c r="K909" s="51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50"/>
      <c r="I910" s="50"/>
      <c r="J910" s="50"/>
      <c r="K910" s="51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50"/>
      <c r="I911" s="50"/>
      <c r="J911" s="50"/>
      <c r="K911" s="51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50"/>
      <c r="I912" s="50"/>
      <c r="J912" s="50"/>
      <c r="K912" s="51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50"/>
      <c r="I913" s="50"/>
      <c r="J913" s="50"/>
      <c r="K913" s="51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50"/>
      <c r="I914" s="50"/>
      <c r="J914" s="50"/>
      <c r="K914" s="51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50"/>
      <c r="I915" s="50"/>
      <c r="J915" s="50"/>
      <c r="K915" s="51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50"/>
      <c r="I916" s="50"/>
      <c r="J916" s="50"/>
      <c r="K916" s="51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50"/>
      <c r="I917" s="50"/>
      <c r="J917" s="50"/>
      <c r="K917" s="51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50"/>
      <c r="I918" s="50"/>
      <c r="J918" s="50"/>
      <c r="K918" s="51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50"/>
      <c r="I919" s="50"/>
      <c r="J919" s="50"/>
      <c r="K919" s="51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50"/>
      <c r="I920" s="50"/>
      <c r="J920" s="50"/>
      <c r="K920" s="51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50"/>
      <c r="I921" s="50"/>
      <c r="J921" s="50"/>
      <c r="K921" s="51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50"/>
      <c r="I922" s="50"/>
      <c r="J922" s="50"/>
      <c r="K922" s="51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50"/>
      <c r="I923" s="50"/>
      <c r="J923" s="50"/>
      <c r="K923" s="51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50"/>
      <c r="I924" s="50"/>
      <c r="J924" s="50"/>
      <c r="K924" s="51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50"/>
      <c r="I925" s="50"/>
      <c r="J925" s="50"/>
      <c r="K925" s="51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50"/>
      <c r="I926" s="50"/>
      <c r="J926" s="50"/>
      <c r="K926" s="51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50"/>
      <c r="I927" s="50"/>
      <c r="J927" s="50"/>
      <c r="K927" s="51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50"/>
      <c r="I928" s="50"/>
      <c r="J928" s="50"/>
      <c r="K928" s="51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50"/>
      <c r="I929" s="50"/>
      <c r="J929" s="50"/>
      <c r="K929" s="51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50"/>
      <c r="I930" s="50"/>
      <c r="J930" s="50"/>
      <c r="K930" s="51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50"/>
      <c r="I931" s="50"/>
      <c r="J931" s="50"/>
      <c r="K931" s="51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50"/>
      <c r="I932" s="50"/>
      <c r="J932" s="50"/>
      <c r="K932" s="51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50"/>
      <c r="I933" s="50"/>
      <c r="J933" s="50"/>
      <c r="K933" s="51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50"/>
      <c r="I934" s="50"/>
      <c r="J934" s="50"/>
      <c r="K934" s="51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50"/>
      <c r="I935" s="50"/>
      <c r="J935" s="50"/>
      <c r="K935" s="51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50"/>
      <c r="I936" s="50"/>
      <c r="J936" s="50"/>
      <c r="K936" s="51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50"/>
      <c r="I937" s="50"/>
      <c r="J937" s="50"/>
      <c r="K937" s="51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50"/>
      <c r="I938" s="50"/>
      <c r="J938" s="50"/>
      <c r="K938" s="51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50"/>
      <c r="I939" s="50"/>
      <c r="J939" s="50"/>
      <c r="K939" s="51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50"/>
      <c r="I940" s="50"/>
      <c r="J940" s="50"/>
      <c r="K940" s="51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50"/>
      <c r="I941" s="50"/>
      <c r="J941" s="50"/>
      <c r="K941" s="51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50"/>
      <c r="I942" s="50"/>
      <c r="J942" s="50"/>
      <c r="K942" s="51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50"/>
      <c r="I943" s="50"/>
      <c r="J943" s="50"/>
      <c r="K943" s="51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50"/>
      <c r="I944" s="50"/>
      <c r="J944" s="50"/>
      <c r="K944" s="51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50"/>
      <c r="I945" s="50"/>
      <c r="J945" s="50"/>
      <c r="K945" s="51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50"/>
      <c r="I946" s="50"/>
      <c r="J946" s="50"/>
      <c r="K946" s="51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50"/>
      <c r="I947" s="50"/>
      <c r="J947" s="50"/>
      <c r="K947" s="51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50"/>
      <c r="I948" s="50"/>
      <c r="J948" s="50"/>
      <c r="K948" s="51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50"/>
      <c r="I949" s="50"/>
      <c r="J949" s="50"/>
      <c r="K949" s="51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50"/>
      <c r="I950" s="50"/>
      <c r="J950" s="50"/>
      <c r="K950" s="51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50"/>
      <c r="I951" s="50"/>
      <c r="J951" s="50"/>
      <c r="K951" s="51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50"/>
      <c r="I952" s="50"/>
      <c r="J952" s="50"/>
      <c r="K952" s="51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50"/>
      <c r="I953" s="50"/>
      <c r="J953" s="50"/>
      <c r="K953" s="51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50"/>
      <c r="I954" s="50"/>
      <c r="J954" s="50"/>
      <c r="K954" s="51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50"/>
      <c r="I955" s="50"/>
      <c r="J955" s="50"/>
      <c r="K955" s="51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50"/>
      <c r="I956" s="50"/>
      <c r="J956" s="50"/>
      <c r="K956" s="51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50"/>
      <c r="I957" s="50"/>
      <c r="J957" s="50"/>
      <c r="K957" s="51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50"/>
      <c r="I958" s="50"/>
      <c r="J958" s="50"/>
      <c r="K958" s="51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50"/>
      <c r="I959" s="50"/>
      <c r="J959" s="50"/>
      <c r="K959" s="51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50"/>
      <c r="I960" s="50"/>
      <c r="J960" s="50"/>
      <c r="K960" s="51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50"/>
      <c r="I961" s="50"/>
      <c r="J961" s="50"/>
      <c r="K961" s="51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50"/>
      <c r="I962" s="50"/>
      <c r="J962" s="50"/>
      <c r="K962" s="51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50"/>
      <c r="I963" s="50"/>
      <c r="J963" s="50"/>
      <c r="K963" s="51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50"/>
      <c r="I964" s="50"/>
      <c r="J964" s="50"/>
      <c r="K964" s="51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50"/>
      <c r="I965" s="50"/>
      <c r="J965" s="50"/>
      <c r="K965" s="51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50"/>
      <c r="I966" s="50"/>
      <c r="J966" s="50"/>
      <c r="K966" s="51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50"/>
      <c r="I967" s="50"/>
      <c r="J967" s="50"/>
      <c r="K967" s="51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50"/>
      <c r="I968" s="50"/>
      <c r="J968" s="50"/>
      <c r="K968" s="51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50"/>
      <c r="I969" s="50"/>
      <c r="J969" s="50"/>
      <c r="K969" s="51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50"/>
      <c r="I970" s="50"/>
      <c r="J970" s="50"/>
      <c r="K970" s="51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50"/>
      <c r="I971" s="50"/>
      <c r="J971" s="50"/>
      <c r="K971" s="51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50"/>
      <c r="I972" s="50"/>
      <c r="J972" s="50"/>
      <c r="K972" s="51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50"/>
      <c r="I973" s="50"/>
      <c r="J973" s="50"/>
      <c r="K973" s="51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50"/>
      <c r="I974" s="50"/>
      <c r="J974" s="50"/>
      <c r="K974" s="51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50"/>
      <c r="I975" s="50"/>
      <c r="J975" s="50"/>
      <c r="K975" s="51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50"/>
      <c r="I976" s="50"/>
      <c r="J976" s="50"/>
      <c r="K976" s="51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50"/>
      <c r="I977" s="50"/>
      <c r="J977" s="50"/>
      <c r="K977" s="51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50"/>
      <c r="I978" s="50"/>
      <c r="J978" s="50"/>
      <c r="K978" s="51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50"/>
      <c r="I979" s="50"/>
      <c r="J979" s="50"/>
      <c r="K979" s="51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50"/>
      <c r="I980" s="50"/>
      <c r="J980" s="50"/>
      <c r="K980" s="51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50"/>
      <c r="I981" s="50"/>
      <c r="J981" s="50"/>
      <c r="K981" s="51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50"/>
      <c r="I982" s="50"/>
      <c r="J982" s="50"/>
      <c r="K982" s="51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50"/>
      <c r="I983" s="50"/>
      <c r="J983" s="50"/>
      <c r="K983" s="51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50"/>
      <c r="I984" s="50"/>
      <c r="J984" s="50"/>
      <c r="K984" s="51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50"/>
      <c r="I985" s="50"/>
      <c r="J985" s="50"/>
      <c r="K985" s="51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50"/>
      <c r="I986" s="50"/>
      <c r="J986" s="50"/>
      <c r="K986" s="51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50"/>
      <c r="I987" s="50"/>
      <c r="J987" s="50"/>
      <c r="K987" s="51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50"/>
      <c r="I988" s="50"/>
      <c r="J988" s="50"/>
      <c r="K988" s="51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50"/>
      <c r="I989" s="50"/>
      <c r="J989" s="50"/>
      <c r="K989" s="51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50"/>
      <c r="I990" s="50"/>
      <c r="J990" s="50"/>
      <c r="K990" s="51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50"/>
      <c r="I991" s="50"/>
      <c r="J991" s="50"/>
      <c r="K991" s="51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50"/>
      <c r="I992" s="50"/>
      <c r="J992" s="50"/>
      <c r="K992" s="51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50"/>
      <c r="I993" s="50"/>
      <c r="J993" s="50"/>
      <c r="K993" s="51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50"/>
      <c r="I994" s="50"/>
      <c r="J994" s="50"/>
      <c r="K994" s="51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50"/>
      <c r="I995" s="50"/>
      <c r="J995" s="50"/>
      <c r="K995" s="51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50"/>
      <c r="I996" s="50"/>
      <c r="J996" s="50"/>
      <c r="K996" s="51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50"/>
      <c r="I997" s="50"/>
      <c r="J997" s="50"/>
      <c r="K997" s="51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50"/>
      <c r="I998" s="50"/>
      <c r="J998" s="50"/>
      <c r="K998" s="51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50"/>
      <c r="I999" s="50"/>
      <c r="J999" s="50"/>
      <c r="K999" s="51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50"/>
      <c r="I1000" s="50"/>
      <c r="J1000" s="50"/>
      <c r="K1000" s="51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</row>
    <row r="1001" ht="15.75" customHeight="1">
      <c r="A1001" s="49"/>
      <c r="B1001" s="49"/>
      <c r="C1001" s="49"/>
      <c r="D1001" s="49"/>
      <c r="E1001" s="49"/>
      <c r="F1001" s="49"/>
      <c r="G1001" s="49"/>
      <c r="H1001" s="50"/>
      <c r="I1001" s="50"/>
      <c r="J1001" s="50"/>
      <c r="K1001" s="51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</row>
  </sheetData>
  <mergeCells count="9">
    <mergeCell ref="A19:A20"/>
    <mergeCell ref="A29:A31"/>
    <mergeCell ref="A6:K6"/>
    <mergeCell ref="M6:N6"/>
    <mergeCell ref="M7:N7"/>
    <mergeCell ref="A8:A10"/>
    <mergeCell ref="A11:A12"/>
    <mergeCell ref="A17:K17"/>
    <mergeCell ref="A25:K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B4" s="250" t="s">
        <v>198</v>
      </c>
      <c r="C4" s="27"/>
      <c r="D4" s="27"/>
      <c r="E4" s="27"/>
      <c r="F4" s="27"/>
      <c r="G4" s="27"/>
      <c r="H4" s="27"/>
      <c r="I4" s="27"/>
      <c r="J4" s="27"/>
      <c r="K4" s="27"/>
      <c r="L4" s="28"/>
    </row>
    <row r="5">
      <c r="B5" s="64" t="s">
        <v>139</v>
      </c>
      <c r="C5" s="64" t="s">
        <v>77</v>
      </c>
      <c r="D5" s="64" t="s">
        <v>78</v>
      </c>
      <c r="E5" s="64" t="s">
        <v>29</v>
      </c>
      <c r="F5" s="64" t="s">
        <v>117</v>
      </c>
      <c r="G5" s="66" t="s">
        <v>80</v>
      </c>
      <c r="H5" s="64" t="s">
        <v>81</v>
      </c>
      <c r="I5" s="67" t="s">
        <v>82</v>
      </c>
      <c r="J5" s="67" t="s">
        <v>83</v>
      </c>
      <c r="K5" s="67" t="s">
        <v>84</v>
      </c>
      <c r="L5" s="211" t="s">
        <v>85</v>
      </c>
    </row>
    <row r="6">
      <c r="B6" s="95">
        <v>1.0</v>
      </c>
      <c r="C6" s="95" t="s">
        <v>89</v>
      </c>
      <c r="D6" s="96" t="s">
        <v>140</v>
      </c>
      <c r="E6" s="96" t="s">
        <v>91</v>
      </c>
      <c r="F6" s="96">
        <v>2.0</v>
      </c>
      <c r="G6" s="97">
        <v>4.0</v>
      </c>
      <c r="H6" s="97">
        <v>6.0</v>
      </c>
      <c r="I6" s="99">
        <v>3.0</v>
      </c>
      <c r="J6" s="99">
        <f t="shared" ref="J6:J18" si="1">I6/$N$9</f>
        <v>0.8875739645</v>
      </c>
      <c r="K6" s="99">
        <f t="shared" ref="K6:K12" si="2">J6*F6*H6</f>
        <v>10.65088757</v>
      </c>
      <c r="L6" s="212">
        <f t="shared" ref="L6:L13" si="3">G6*J6*H6</f>
        <v>21.30177515</v>
      </c>
    </row>
    <row r="7">
      <c r="B7" s="81"/>
      <c r="C7" s="81"/>
      <c r="D7" s="96" t="s">
        <v>142</v>
      </c>
      <c r="E7" s="96" t="s">
        <v>94</v>
      </c>
      <c r="F7" s="96">
        <v>2.0</v>
      </c>
      <c r="G7" s="97">
        <v>4.0</v>
      </c>
      <c r="H7" s="97">
        <v>6.0</v>
      </c>
      <c r="I7" s="99">
        <f>12.68</f>
        <v>12.68</v>
      </c>
      <c r="J7" s="99">
        <f t="shared" si="1"/>
        <v>3.75147929</v>
      </c>
      <c r="K7" s="99">
        <f t="shared" si="2"/>
        <v>45.01775148</v>
      </c>
      <c r="L7" s="212">
        <f t="shared" si="3"/>
        <v>90.03550296</v>
      </c>
    </row>
    <row r="8">
      <c r="B8" s="86">
        <v>2.0</v>
      </c>
      <c r="C8" s="86" t="s">
        <v>89</v>
      </c>
      <c r="D8" s="87" t="s">
        <v>140</v>
      </c>
      <c r="E8" s="87" t="s">
        <v>91</v>
      </c>
      <c r="F8" s="87">
        <v>2.0</v>
      </c>
      <c r="G8" s="88">
        <v>4.0</v>
      </c>
      <c r="H8" s="88">
        <v>6.0</v>
      </c>
      <c r="I8" s="89">
        <v>3.0</v>
      </c>
      <c r="J8" s="99">
        <f t="shared" si="1"/>
        <v>0.8875739645</v>
      </c>
      <c r="K8" s="89">
        <f t="shared" si="2"/>
        <v>10.65088757</v>
      </c>
      <c r="L8" s="212">
        <f t="shared" si="3"/>
        <v>21.30177515</v>
      </c>
    </row>
    <row r="9">
      <c r="B9" s="81"/>
      <c r="C9" s="81"/>
      <c r="D9" s="87" t="s">
        <v>142</v>
      </c>
      <c r="E9" s="87" t="s">
        <v>94</v>
      </c>
      <c r="F9" s="87">
        <v>1.0</v>
      </c>
      <c r="G9" s="88">
        <v>4.0</v>
      </c>
      <c r="H9" s="88">
        <v>6.0</v>
      </c>
      <c r="I9" s="89">
        <f>I7</f>
        <v>12.68</v>
      </c>
      <c r="J9" s="99">
        <f t="shared" si="1"/>
        <v>3.75147929</v>
      </c>
      <c r="K9" s="89">
        <f t="shared" si="2"/>
        <v>22.50887574</v>
      </c>
      <c r="L9" s="212">
        <f t="shared" si="3"/>
        <v>90.03550296</v>
      </c>
      <c r="N9" s="251">
        <v>3.38</v>
      </c>
    </row>
    <row r="10">
      <c r="B10" s="252">
        <v>3.0</v>
      </c>
      <c r="C10" s="148" t="s">
        <v>89</v>
      </c>
      <c r="D10" s="149" t="s">
        <v>140</v>
      </c>
      <c r="E10" s="149" t="s">
        <v>91</v>
      </c>
      <c r="F10" s="149">
        <v>2.0</v>
      </c>
      <c r="G10" s="79">
        <v>4.0</v>
      </c>
      <c r="H10" s="149">
        <v>6.0</v>
      </c>
      <c r="I10" s="150">
        <v>3.0</v>
      </c>
      <c r="J10" s="99">
        <f t="shared" si="1"/>
        <v>0.8875739645</v>
      </c>
      <c r="K10" s="150">
        <f t="shared" si="2"/>
        <v>10.65088757</v>
      </c>
      <c r="L10" s="212">
        <f t="shared" si="3"/>
        <v>21.30177515</v>
      </c>
    </row>
    <row r="11">
      <c r="B11" s="92"/>
      <c r="C11" s="148" t="s">
        <v>89</v>
      </c>
      <c r="D11" s="149" t="s">
        <v>142</v>
      </c>
      <c r="E11" s="149" t="s">
        <v>94</v>
      </c>
      <c r="F11" s="149">
        <v>3.0</v>
      </c>
      <c r="G11" s="79">
        <v>4.0</v>
      </c>
      <c r="H11" s="149">
        <v>6.0</v>
      </c>
      <c r="I11" s="150">
        <f>I7</f>
        <v>12.68</v>
      </c>
      <c r="J11" s="99">
        <f t="shared" si="1"/>
        <v>3.75147929</v>
      </c>
      <c r="K11" s="150">
        <f t="shared" si="2"/>
        <v>67.52662722</v>
      </c>
      <c r="L11" s="212">
        <f t="shared" si="3"/>
        <v>90.03550296</v>
      </c>
    </row>
    <row r="12">
      <c r="B12" s="81"/>
      <c r="C12" s="151" t="s">
        <v>106</v>
      </c>
      <c r="D12" s="149" t="s">
        <v>128</v>
      </c>
      <c r="E12" s="79" t="s">
        <v>29</v>
      </c>
      <c r="F12" s="149">
        <v>0.5</v>
      </c>
      <c r="G12" s="79">
        <v>3.0</v>
      </c>
      <c r="H12" s="149">
        <v>1.0</v>
      </c>
      <c r="I12" s="149">
        <v>10.0</v>
      </c>
      <c r="J12" s="99">
        <f t="shared" si="1"/>
        <v>2.958579882</v>
      </c>
      <c r="K12" s="150">
        <f t="shared" si="2"/>
        <v>1.479289941</v>
      </c>
      <c r="L12" s="212">
        <f t="shared" si="3"/>
        <v>8.875739645</v>
      </c>
    </row>
    <row r="13">
      <c r="B13" s="253">
        <v>4.0</v>
      </c>
      <c r="C13" s="153" t="s">
        <v>89</v>
      </c>
      <c r="D13" s="154" t="s">
        <v>140</v>
      </c>
      <c r="E13" s="155" t="s">
        <v>91</v>
      </c>
      <c r="F13" s="155">
        <v>2.0</v>
      </c>
      <c r="G13" s="153">
        <v>4.0</v>
      </c>
      <c r="H13" s="155">
        <v>6.0</v>
      </c>
      <c r="I13" s="156">
        <v>3.0</v>
      </c>
      <c r="J13" s="99">
        <f t="shared" si="1"/>
        <v>0.8875739645</v>
      </c>
      <c r="K13" s="156">
        <v>10.650887573964496</v>
      </c>
      <c r="L13" s="212">
        <f t="shared" si="3"/>
        <v>21.30177515</v>
      </c>
    </row>
    <row r="14">
      <c r="B14" s="157"/>
      <c r="C14" s="153" t="s">
        <v>89</v>
      </c>
      <c r="D14" s="154" t="s">
        <v>142</v>
      </c>
      <c r="E14" s="155" t="s">
        <v>94</v>
      </c>
      <c r="F14" s="155">
        <v>3.0</v>
      </c>
      <c r="G14" s="153">
        <v>4.0</v>
      </c>
      <c r="H14" s="155">
        <v>6.0</v>
      </c>
      <c r="I14" s="158">
        <v>12.68</v>
      </c>
      <c r="J14" s="99">
        <f t="shared" si="1"/>
        <v>3.75147929</v>
      </c>
      <c r="K14" s="156">
        <v>135.00000000000003</v>
      </c>
      <c r="L14" s="212">
        <f t="shared" ref="L14:L15" si="4">G14*H14*J14</f>
        <v>90.03550296</v>
      </c>
    </row>
    <row r="15">
      <c r="B15" s="159"/>
      <c r="C15" s="155" t="s">
        <v>106</v>
      </c>
      <c r="D15" s="154" t="s">
        <v>128</v>
      </c>
      <c r="E15" s="153" t="s">
        <v>29</v>
      </c>
      <c r="F15" s="155">
        <v>0.5</v>
      </c>
      <c r="G15" s="153">
        <v>3.0</v>
      </c>
      <c r="H15" s="155">
        <v>1.0</v>
      </c>
      <c r="I15" s="156">
        <v>10.0</v>
      </c>
      <c r="J15" s="99">
        <f t="shared" si="1"/>
        <v>2.958579882</v>
      </c>
      <c r="K15" s="156">
        <v>1.4792899408284024</v>
      </c>
      <c r="L15" s="212">
        <f t="shared" si="4"/>
        <v>8.875739645</v>
      </c>
    </row>
    <row r="16">
      <c r="B16" s="254">
        <v>5.0</v>
      </c>
      <c r="C16" s="153" t="s">
        <v>89</v>
      </c>
      <c r="D16" s="154" t="s">
        <v>140</v>
      </c>
      <c r="E16" s="155" t="s">
        <v>91</v>
      </c>
      <c r="F16" s="155">
        <v>2.0</v>
      </c>
      <c r="G16" s="153">
        <v>4.0</v>
      </c>
      <c r="H16" s="153">
        <v>3.0</v>
      </c>
      <c r="I16" s="156">
        <v>3.0</v>
      </c>
      <c r="J16" s="99">
        <f t="shared" si="1"/>
        <v>0.8875739645</v>
      </c>
      <c r="K16" s="156">
        <v>10.650887573964496</v>
      </c>
      <c r="L16" s="212">
        <f>G16*J16*H16</f>
        <v>10.65088757</v>
      </c>
    </row>
    <row r="17">
      <c r="B17" s="157"/>
      <c r="C17" s="153" t="s">
        <v>89</v>
      </c>
      <c r="D17" s="154" t="s">
        <v>142</v>
      </c>
      <c r="E17" s="155" t="s">
        <v>94</v>
      </c>
      <c r="F17" s="155">
        <v>3.0</v>
      </c>
      <c r="G17" s="153">
        <v>4.0</v>
      </c>
      <c r="H17" s="153">
        <v>3.0</v>
      </c>
      <c r="I17" s="158">
        <v>12.68</v>
      </c>
      <c r="J17" s="99">
        <f t="shared" si="1"/>
        <v>3.75147929</v>
      </c>
      <c r="K17" s="156">
        <v>135.00000000000003</v>
      </c>
      <c r="L17" s="212">
        <f t="shared" ref="L17:L18" si="5">G17*H17*J17</f>
        <v>45.01775148</v>
      </c>
    </row>
    <row r="18">
      <c r="B18" s="159"/>
      <c r="C18" s="155" t="s">
        <v>106</v>
      </c>
      <c r="D18" s="154" t="s">
        <v>128</v>
      </c>
      <c r="E18" s="153" t="s">
        <v>29</v>
      </c>
      <c r="F18" s="155">
        <v>0.5</v>
      </c>
      <c r="G18" s="153">
        <v>3.0</v>
      </c>
      <c r="H18" s="155">
        <v>1.0</v>
      </c>
      <c r="I18" s="156">
        <v>10.0</v>
      </c>
      <c r="J18" s="99">
        <f t="shared" si="1"/>
        <v>2.958579882</v>
      </c>
      <c r="K18" s="156">
        <v>1.4792899408284024</v>
      </c>
      <c r="L18" s="212">
        <f t="shared" si="5"/>
        <v>8.875739645</v>
      </c>
    </row>
    <row r="19">
      <c r="B19" s="255" t="s">
        <v>70</v>
      </c>
      <c r="C19" s="256"/>
      <c r="D19" s="256"/>
      <c r="E19" s="256"/>
      <c r="F19" s="256"/>
      <c r="G19" s="256"/>
      <c r="H19" s="256"/>
      <c r="I19" s="256"/>
      <c r="J19" s="256"/>
      <c r="K19" s="256"/>
      <c r="L19" s="257">
        <f>SUM(L6:L18)</f>
        <v>527.6449704</v>
      </c>
    </row>
    <row r="20">
      <c r="B20" s="191" t="s">
        <v>63</v>
      </c>
      <c r="C20" s="191" t="s">
        <v>64</v>
      </c>
      <c r="D20" s="256"/>
      <c r="E20" s="191"/>
      <c r="F20" s="191"/>
      <c r="G20" s="191"/>
      <c r="H20" s="191"/>
      <c r="I20" s="191">
        <v>400.0</v>
      </c>
      <c r="J20" s="80">
        <f t="shared" ref="J20:J21" si="6">SUM(J9:J19)</f>
        <v>26.5443787</v>
      </c>
      <c r="K20" s="191"/>
      <c r="L20" s="80">
        <f t="shared" ref="L20:L21" si="7">J20</f>
        <v>26.5443787</v>
      </c>
    </row>
    <row r="21">
      <c r="B21" s="256"/>
      <c r="C21" s="191" t="s">
        <v>199</v>
      </c>
      <c r="D21" s="191"/>
      <c r="E21" s="191"/>
      <c r="F21" s="191"/>
      <c r="G21" s="191"/>
      <c r="H21" s="191"/>
      <c r="I21" s="191">
        <v>5000.0</v>
      </c>
      <c r="J21" s="80">
        <f t="shared" si="6"/>
        <v>49.33727811</v>
      </c>
      <c r="K21" s="191"/>
      <c r="L21" s="80">
        <f t="shared" si="7"/>
        <v>49.33727811</v>
      </c>
    </row>
    <row r="22">
      <c r="B22" s="258" t="s">
        <v>70</v>
      </c>
      <c r="C22" s="258" t="s">
        <v>70</v>
      </c>
      <c r="L22" s="195">
        <f>SUM(L19:L21)</f>
        <v>603.5266272</v>
      </c>
    </row>
    <row r="26">
      <c r="B26" s="250" t="s">
        <v>200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>
      <c r="B27" s="64" t="s">
        <v>139</v>
      </c>
      <c r="C27" s="64" t="s">
        <v>77</v>
      </c>
      <c r="D27" s="64" t="s">
        <v>78</v>
      </c>
      <c r="E27" s="64" t="s">
        <v>29</v>
      </c>
      <c r="F27" s="64" t="s">
        <v>117</v>
      </c>
      <c r="G27" s="66" t="s">
        <v>80</v>
      </c>
      <c r="H27" s="64" t="s">
        <v>81</v>
      </c>
      <c r="I27" s="67" t="s">
        <v>82</v>
      </c>
      <c r="J27" s="67" t="s">
        <v>83</v>
      </c>
      <c r="K27" s="67" t="s">
        <v>84</v>
      </c>
      <c r="L27" s="211" t="s">
        <v>85</v>
      </c>
    </row>
    <row r="28">
      <c r="B28" s="95">
        <v>1.0</v>
      </c>
      <c r="C28" s="95" t="s">
        <v>89</v>
      </c>
      <c r="D28" s="96" t="s">
        <v>140</v>
      </c>
      <c r="E28" s="96" t="s">
        <v>91</v>
      </c>
      <c r="F28" s="96">
        <v>2.0</v>
      </c>
      <c r="G28" s="97">
        <v>4.0</v>
      </c>
      <c r="H28" s="97">
        <v>3.0</v>
      </c>
      <c r="I28" s="99">
        <v>3.0</v>
      </c>
      <c r="J28" s="99">
        <f t="shared" ref="J28:J40" si="8">I28/$N$32</f>
        <v>0.8875739645</v>
      </c>
      <c r="K28" s="99">
        <f t="shared" ref="K28:K34" si="9">J28*F28*H28</f>
        <v>5.325443787</v>
      </c>
      <c r="L28" s="212">
        <f t="shared" ref="L28:L35" si="10">G28*J28*H28</f>
        <v>10.65088757</v>
      </c>
    </row>
    <row r="29">
      <c r="B29" s="81"/>
      <c r="C29" s="81"/>
      <c r="D29" s="96" t="s">
        <v>142</v>
      </c>
      <c r="E29" s="96" t="s">
        <v>94</v>
      </c>
      <c r="F29" s="96">
        <v>2.0</v>
      </c>
      <c r="G29" s="97">
        <v>4.0</v>
      </c>
      <c r="H29" s="97">
        <v>3.0</v>
      </c>
      <c r="I29" s="99">
        <f>12.68</f>
        <v>12.68</v>
      </c>
      <c r="J29" s="99">
        <f t="shared" si="8"/>
        <v>3.75147929</v>
      </c>
      <c r="K29" s="99">
        <f t="shared" si="9"/>
        <v>22.50887574</v>
      </c>
      <c r="L29" s="212">
        <f t="shared" si="10"/>
        <v>45.01775148</v>
      </c>
    </row>
    <row r="30">
      <c r="B30" s="86">
        <v>2.0</v>
      </c>
      <c r="C30" s="86" t="s">
        <v>89</v>
      </c>
      <c r="D30" s="87" t="s">
        <v>140</v>
      </c>
      <c r="E30" s="87" t="s">
        <v>91</v>
      </c>
      <c r="F30" s="87">
        <v>2.0</v>
      </c>
      <c r="G30" s="88">
        <v>4.0</v>
      </c>
      <c r="H30" s="88">
        <v>6.0</v>
      </c>
      <c r="I30" s="89">
        <v>3.0</v>
      </c>
      <c r="J30" s="99">
        <f t="shared" si="8"/>
        <v>0.8875739645</v>
      </c>
      <c r="K30" s="89">
        <f t="shared" si="9"/>
        <v>10.65088757</v>
      </c>
      <c r="L30" s="212">
        <f t="shared" si="10"/>
        <v>21.30177515</v>
      </c>
    </row>
    <row r="31">
      <c r="B31" s="81"/>
      <c r="C31" s="81"/>
      <c r="D31" s="87" t="s">
        <v>142</v>
      </c>
      <c r="E31" s="87" t="s">
        <v>94</v>
      </c>
      <c r="F31" s="87">
        <v>1.0</v>
      </c>
      <c r="G31" s="88">
        <v>4.0</v>
      </c>
      <c r="H31" s="88">
        <v>6.0</v>
      </c>
      <c r="I31" s="89">
        <f>I29</f>
        <v>12.68</v>
      </c>
      <c r="J31" s="99">
        <f t="shared" si="8"/>
        <v>3.75147929</v>
      </c>
      <c r="K31" s="89">
        <f t="shared" si="9"/>
        <v>22.50887574</v>
      </c>
      <c r="L31" s="212">
        <f t="shared" si="10"/>
        <v>90.03550296</v>
      </c>
    </row>
    <row r="32">
      <c r="B32" s="252">
        <v>3.0</v>
      </c>
      <c r="C32" s="148" t="s">
        <v>89</v>
      </c>
      <c r="D32" s="149" t="s">
        <v>140</v>
      </c>
      <c r="E32" s="149" t="s">
        <v>91</v>
      </c>
      <c r="F32" s="149">
        <v>2.0</v>
      </c>
      <c r="G32" s="79">
        <v>4.0</v>
      </c>
      <c r="H32" s="149">
        <v>6.0</v>
      </c>
      <c r="I32" s="150">
        <v>3.0</v>
      </c>
      <c r="J32" s="99">
        <f t="shared" si="8"/>
        <v>0.8875739645</v>
      </c>
      <c r="K32" s="150">
        <f t="shared" si="9"/>
        <v>10.65088757</v>
      </c>
      <c r="L32" s="212">
        <f t="shared" si="10"/>
        <v>21.30177515</v>
      </c>
      <c r="N32" s="251">
        <v>3.38</v>
      </c>
    </row>
    <row r="33">
      <c r="B33" s="92"/>
      <c r="C33" s="148" t="s">
        <v>89</v>
      </c>
      <c r="D33" s="149" t="s">
        <v>142</v>
      </c>
      <c r="E33" s="149" t="s">
        <v>94</v>
      </c>
      <c r="F33" s="149">
        <v>3.0</v>
      </c>
      <c r="G33" s="79">
        <v>4.0</v>
      </c>
      <c r="H33" s="149">
        <v>6.0</v>
      </c>
      <c r="I33" s="150">
        <f>I29</f>
        <v>12.68</v>
      </c>
      <c r="J33" s="99">
        <f t="shared" si="8"/>
        <v>3.75147929</v>
      </c>
      <c r="K33" s="150">
        <f t="shared" si="9"/>
        <v>67.52662722</v>
      </c>
      <c r="L33" s="212">
        <f t="shared" si="10"/>
        <v>90.03550296</v>
      </c>
    </row>
    <row r="34">
      <c r="B34" s="81"/>
      <c r="C34" s="151" t="s">
        <v>106</v>
      </c>
      <c r="D34" s="149" t="s">
        <v>128</v>
      </c>
      <c r="E34" s="79" t="s">
        <v>29</v>
      </c>
      <c r="F34" s="149">
        <v>0.5</v>
      </c>
      <c r="G34" s="79">
        <v>3.0</v>
      </c>
      <c r="H34" s="149">
        <v>1.0</v>
      </c>
      <c r="I34" s="149">
        <v>10.0</v>
      </c>
      <c r="J34" s="99">
        <f t="shared" si="8"/>
        <v>2.958579882</v>
      </c>
      <c r="K34" s="150">
        <f t="shared" si="9"/>
        <v>1.479289941</v>
      </c>
      <c r="L34" s="212">
        <f t="shared" si="10"/>
        <v>8.875739645</v>
      </c>
    </row>
    <row r="35">
      <c r="B35" s="253">
        <v>4.0</v>
      </c>
      <c r="C35" s="153" t="s">
        <v>89</v>
      </c>
      <c r="D35" s="154" t="s">
        <v>140</v>
      </c>
      <c r="E35" s="155" t="s">
        <v>91</v>
      </c>
      <c r="F35" s="155">
        <v>2.0</v>
      </c>
      <c r="G35" s="153">
        <v>4.0</v>
      </c>
      <c r="H35" s="155">
        <v>6.0</v>
      </c>
      <c r="I35" s="156">
        <v>3.0</v>
      </c>
      <c r="J35" s="99">
        <f t="shared" si="8"/>
        <v>0.8875739645</v>
      </c>
      <c r="K35" s="156">
        <v>10.650887573964496</v>
      </c>
      <c r="L35" s="212">
        <f t="shared" si="10"/>
        <v>21.30177515</v>
      </c>
    </row>
    <row r="36">
      <c r="B36" s="157"/>
      <c r="C36" s="153" t="s">
        <v>89</v>
      </c>
      <c r="D36" s="154" t="s">
        <v>142</v>
      </c>
      <c r="E36" s="155" t="s">
        <v>94</v>
      </c>
      <c r="F36" s="155">
        <v>3.0</v>
      </c>
      <c r="G36" s="153">
        <v>4.0</v>
      </c>
      <c r="H36" s="155">
        <v>6.0</v>
      </c>
      <c r="I36" s="158">
        <v>12.68</v>
      </c>
      <c r="J36" s="99">
        <f t="shared" si="8"/>
        <v>3.75147929</v>
      </c>
      <c r="K36" s="156">
        <v>135.00000000000003</v>
      </c>
      <c r="L36" s="212">
        <f t="shared" ref="L36:L37" si="11">G36*H36*J36</f>
        <v>90.03550296</v>
      </c>
    </row>
    <row r="37">
      <c r="B37" s="159"/>
      <c r="C37" s="155" t="s">
        <v>106</v>
      </c>
      <c r="D37" s="154" t="s">
        <v>128</v>
      </c>
      <c r="E37" s="153" t="s">
        <v>29</v>
      </c>
      <c r="F37" s="155">
        <v>0.5</v>
      </c>
      <c r="G37" s="153">
        <v>3.0</v>
      </c>
      <c r="H37" s="155">
        <v>1.0</v>
      </c>
      <c r="I37" s="156">
        <v>10.0</v>
      </c>
      <c r="J37" s="99">
        <f t="shared" si="8"/>
        <v>2.958579882</v>
      </c>
      <c r="K37" s="156">
        <v>1.4792899408284024</v>
      </c>
      <c r="L37" s="212">
        <f t="shared" si="11"/>
        <v>8.875739645</v>
      </c>
    </row>
    <row r="38">
      <c r="B38" s="254">
        <v>5.0</v>
      </c>
      <c r="C38" s="153" t="s">
        <v>89</v>
      </c>
      <c r="D38" s="154" t="s">
        <v>140</v>
      </c>
      <c r="E38" s="155" t="s">
        <v>91</v>
      </c>
      <c r="F38" s="155">
        <v>2.0</v>
      </c>
      <c r="G38" s="153">
        <v>4.0</v>
      </c>
      <c r="H38" s="155">
        <v>6.0</v>
      </c>
      <c r="I38" s="156">
        <v>3.0</v>
      </c>
      <c r="J38" s="99">
        <f t="shared" si="8"/>
        <v>0.8875739645</v>
      </c>
      <c r="K38" s="156">
        <v>10.650887573964496</v>
      </c>
      <c r="L38" s="212">
        <f>G38*J38*H38</f>
        <v>21.30177515</v>
      </c>
    </row>
    <row r="39">
      <c r="B39" s="157"/>
      <c r="C39" s="153" t="s">
        <v>89</v>
      </c>
      <c r="D39" s="154" t="s">
        <v>142</v>
      </c>
      <c r="E39" s="155" t="s">
        <v>94</v>
      </c>
      <c r="F39" s="155">
        <v>3.0</v>
      </c>
      <c r="G39" s="153">
        <v>4.0</v>
      </c>
      <c r="H39" s="155">
        <v>6.0</v>
      </c>
      <c r="I39" s="158">
        <v>12.68</v>
      </c>
      <c r="J39" s="99">
        <f t="shared" si="8"/>
        <v>3.75147929</v>
      </c>
      <c r="K39" s="156">
        <v>135.00000000000003</v>
      </c>
      <c r="L39" s="212">
        <f t="shared" ref="L39:L40" si="12">G39*H39*J39</f>
        <v>90.03550296</v>
      </c>
    </row>
    <row r="40">
      <c r="B40" s="159"/>
      <c r="C40" s="155" t="s">
        <v>106</v>
      </c>
      <c r="D40" s="154" t="s">
        <v>128</v>
      </c>
      <c r="E40" s="153" t="s">
        <v>29</v>
      </c>
      <c r="F40" s="155">
        <v>0.5</v>
      </c>
      <c r="G40" s="153">
        <v>3.0</v>
      </c>
      <c r="H40" s="155">
        <v>1.0</v>
      </c>
      <c r="I40" s="156">
        <v>10.0</v>
      </c>
      <c r="J40" s="99">
        <f t="shared" si="8"/>
        <v>2.958579882</v>
      </c>
      <c r="K40" s="156">
        <v>1.4792899408284024</v>
      </c>
      <c r="L40" s="212">
        <f t="shared" si="12"/>
        <v>8.875739645</v>
      </c>
    </row>
    <row r="41">
      <c r="B41" s="255" t="s">
        <v>157</v>
      </c>
      <c r="C41" s="259"/>
      <c r="D41" s="27"/>
      <c r="E41" s="27"/>
      <c r="F41" s="27"/>
      <c r="G41" s="27"/>
      <c r="H41" s="27"/>
      <c r="I41" s="27"/>
      <c r="J41" s="28"/>
      <c r="K41" s="257">
        <f t="shared" ref="K41:L41" si="13">SUM(K28:K40)</f>
        <v>434.9112426</v>
      </c>
      <c r="L41" s="257">
        <f t="shared" si="13"/>
        <v>527.6449704</v>
      </c>
    </row>
    <row r="46">
      <c r="B46" s="250" t="s">
        <v>201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>
      <c r="B47" s="64" t="s">
        <v>139</v>
      </c>
      <c r="C47" s="64" t="s">
        <v>77</v>
      </c>
      <c r="D47" s="64" t="s">
        <v>78</v>
      </c>
      <c r="E47" s="64" t="s">
        <v>29</v>
      </c>
      <c r="F47" s="64" t="s">
        <v>117</v>
      </c>
      <c r="G47" s="66" t="s">
        <v>80</v>
      </c>
      <c r="H47" s="64" t="s">
        <v>81</v>
      </c>
      <c r="I47" s="67" t="s">
        <v>82</v>
      </c>
      <c r="J47" s="67" t="s">
        <v>83</v>
      </c>
      <c r="K47" s="67" t="s">
        <v>84</v>
      </c>
      <c r="L47" s="211" t="s">
        <v>85</v>
      </c>
    </row>
    <row r="48">
      <c r="B48" s="95">
        <v>1.0</v>
      </c>
      <c r="C48" s="95" t="s">
        <v>89</v>
      </c>
      <c r="D48" s="96" t="s">
        <v>140</v>
      </c>
      <c r="E48" s="96" t="s">
        <v>91</v>
      </c>
      <c r="F48" s="96">
        <v>2.0</v>
      </c>
      <c r="G48" s="97">
        <v>4.0</v>
      </c>
      <c r="H48" s="96">
        <v>1.0</v>
      </c>
      <c r="I48" s="99">
        <v>3.0</v>
      </c>
      <c r="J48" s="99">
        <f t="shared" ref="J48:J57" si="14">I48/$N$52</f>
        <v>0.8875739645</v>
      </c>
      <c r="K48" s="99">
        <f t="shared" ref="K48:K54" si="15">J48*F48*H48</f>
        <v>1.775147929</v>
      </c>
      <c r="L48" s="212">
        <f t="shared" ref="L48:L55" si="16">G48*J48*H48</f>
        <v>3.550295858</v>
      </c>
    </row>
    <row r="49">
      <c r="B49" s="81"/>
      <c r="C49" s="81"/>
      <c r="D49" s="96" t="s">
        <v>142</v>
      </c>
      <c r="E49" s="96" t="s">
        <v>94</v>
      </c>
      <c r="F49" s="96">
        <v>2.0</v>
      </c>
      <c r="G49" s="97">
        <v>4.0</v>
      </c>
      <c r="H49" s="96">
        <v>1.0</v>
      </c>
      <c r="I49" s="99">
        <f>12.68</f>
        <v>12.68</v>
      </c>
      <c r="J49" s="99">
        <f t="shared" si="14"/>
        <v>3.75147929</v>
      </c>
      <c r="K49" s="99">
        <f t="shared" si="15"/>
        <v>7.50295858</v>
      </c>
      <c r="L49" s="212">
        <f t="shared" si="16"/>
        <v>15.00591716</v>
      </c>
    </row>
    <row r="50">
      <c r="B50" s="86">
        <v>2.0</v>
      </c>
      <c r="C50" s="86" t="s">
        <v>89</v>
      </c>
      <c r="D50" s="87" t="s">
        <v>140</v>
      </c>
      <c r="E50" s="87" t="s">
        <v>91</v>
      </c>
      <c r="F50" s="87">
        <v>2.0</v>
      </c>
      <c r="G50" s="88">
        <v>4.0</v>
      </c>
      <c r="H50" s="88">
        <v>6.0</v>
      </c>
      <c r="I50" s="89">
        <v>3.0</v>
      </c>
      <c r="J50" s="99">
        <f t="shared" si="14"/>
        <v>0.8875739645</v>
      </c>
      <c r="K50" s="89">
        <f t="shared" si="15"/>
        <v>10.65088757</v>
      </c>
      <c r="L50" s="212">
        <f t="shared" si="16"/>
        <v>21.30177515</v>
      </c>
    </row>
    <row r="51">
      <c r="B51" s="81"/>
      <c r="C51" s="81"/>
      <c r="D51" s="87" t="s">
        <v>142</v>
      </c>
      <c r="E51" s="87" t="s">
        <v>94</v>
      </c>
      <c r="F51" s="87">
        <v>1.0</v>
      </c>
      <c r="G51" s="88">
        <v>4.0</v>
      </c>
      <c r="H51" s="88">
        <v>6.0</v>
      </c>
      <c r="I51" s="89">
        <f>I49</f>
        <v>12.68</v>
      </c>
      <c r="J51" s="99">
        <f t="shared" si="14"/>
        <v>3.75147929</v>
      </c>
      <c r="K51" s="89">
        <f t="shared" si="15"/>
        <v>22.50887574</v>
      </c>
      <c r="L51" s="212">
        <f t="shared" si="16"/>
        <v>90.03550296</v>
      </c>
    </row>
    <row r="52">
      <c r="B52" s="252">
        <v>3.0</v>
      </c>
      <c r="C52" s="148" t="s">
        <v>89</v>
      </c>
      <c r="D52" s="149" t="s">
        <v>140</v>
      </c>
      <c r="E52" s="149" t="s">
        <v>91</v>
      </c>
      <c r="F52" s="149">
        <v>2.0</v>
      </c>
      <c r="G52" s="79">
        <v>4.0</v>
      </c>
      <c r="H52" s="149">
        <v>6.0</v>
      </c>
      <c r="I52" s="150">
        <v>3.0</v>
      </c>
      <c r="J52" s="99">
        <f t="shared" si="14"/>
        <v>0.8875739645</v>
      </c>
      <c r="K52" s="150">
        <f t="shared" si="15"/>
        <v>10.65088757</v>
      </c>
      <c r="L52" s="212">
        <f t="shared" si="16"/>
        <v>21.30177515</v>
      </c>
      <c r="N52" s="251">
        <v>3.38</v>
      </c>
    </row>
    <row r="53">
      <c r="B53" s="92"/>
      <c r="C53" s="148" t="s">
        <v>89</v>
      </c>
      <c r="D53" s="149" t="s">
        <v>142</v>
      </c>
      <c r="E53" s="149" t="s">
        <v>94</v>
      </c>
      <c r="F53" s="149">
        <v>3.0</v>
      </c>
      <c r="G53" s="79">
        <v>4.0</v>
      </c>
      <c r="H53" s="149">
        <v>6.0</v>
      </c>
      <c r="I53" s="150">
        <f>I49</f>
        <v>12.68</v>
      </c>
      <c r="J53" s="99">
        <f t="shared" si="14"/>
        <v>3.75147929</v>
      </c>
      <c r="K53" s="150">
        <f t="shared" si="15"/>
        <v>67.52662722</v>
      </c>
      <c r="L53" s="212">
        <f t="shared" si="16"/>
        <v>90.03550296</v>
      </c>
    </row>
    <row r="54">
      <c r="B54" s="81"/>
      <c r="C54" s="151" t="s">
        <v>106</v>
      </c>
      <c r="D54" s="149" t="s">
        <v>128</v>
      </c>
      <c r="E54" s="79" t="s">
        <v>29</v>
      </c>
      <c r="F54" s="149">
        <v>0.5</v>
      </c>
      <c r="G54" s="79">
        <v>3.0</v>
      </c>
      <c r="H54" s="149">
        <v>1.0</v>
      </c>
      <c r="I54" s="149">
        <v>10.0</v>
      </c>
      <c r="J54" s="99">
        <f t="shared" si="14"/>
        <v>2.958579882</v>
      </c>
      <c r="K54" s="150">
        <f t="shared" si="15"/>
        <v>1.479289941</v>
      </c>
      <c r="L54" s="212">
        <f t="shared" si="16"/>
        <v>8.875739645</v>
      </c>
    </row>
    <row r="55">
      <c r="B55" s="253">
        <v>4.0</v>
      </c>
      <c r="C55" s="153" t="s">
        <v>89</v>
      </c>
      <c r="D55" s="154" t="s">
        <v>140</v>
      </c>
      <c r="E55" s="155" t="s">
        <v>91</v>
      </c>
      <c r="F55" s="155">
        <v>2.0</v>
      </c>
      <c r="G55" s="153">
        <v>4.0</v>
      </c>
      <c r="H55" s="155">
        <v>6.0</v>
      </c>
      <c r="I55" s="156">
        <v>3.0</v>
      </c>
      <c r="J55" s="99">
        <f t="shared" si="14"/>
        <v>0.8875739645</v>
      </c>
      <c r="K55" s="156">
        <v>10.650887573964496</v>
      </c>
      <c r="L55" s="212">
        <f t="shared" si="16"/>
        <v>21.30177515</v>
      </c>
    </row>
    <row r="56">
      <c r="B56" s="157"/>
      <c r="C56" s="153" t="s">
        <v>89</v>
      </c>
      <c r="D56" s="154" t="s">
        <v>142</v>
      </c>
      <c r="E56" s="155" t="s">
        <v>94</v>
      </c>
      <c r="F56" s="155">
        <v>3.0</v>
      </c>
      <c r="G56" s="153">
        <v>4.0</v>
      </c>
      <c r="H56" s="155">
        <v>6.0</v>
      </c>
      <c r="I56" s="158">
        <v>12.68</v>
      </c>
      <c r="J56" s="99">
        <f t="shared" si="14"/>
        <v>3.75147929</v>
      </c>
      <c r="K56" s="156">
        <v>135.00000000000003</v>
      </c>
      <c r="L56" s="212">
        <f t="shared" ref="L56:L57" si="17">G56*H56*J56</f>
        <v>90.03550296</v>
      </c>
    </row>
    <row r="57">
      <c r="B57" s="159"/>
      <c r="C57" s="155" t="s">
        <v>106</v>
      </c>
      <c r="D57" s="154" t="s">
        <v>128</v>
      </c>
      <c r="E57" s="153" t="s">
        <v>29</v>
      </c>
      <c r="F57" s="155">
        <v>0.5</v>
      </c>
      <c r="G57" s="153">
        <v>3.0</v>
      </c>
      <c r="H57" s="155">
        <v>1.0</v>
      </c>
      <c r="I57" s="156">
        <v>10.0</v>
      </c>
      <c r="J57" s="99">
        <f t="shared" si="14"/>
        <v>2.958579882</v>
      </c>
      <c r="K57" s="156">
        <v>1.4792899408284024</v>
      </c>
      <c r="L57" s="212">
        <f t="shared" si="17"/>
        <v>8.875739645</v>
      </c>
    </row>
    <row r="58">
      <c r="B58" s="255" t="s">
        <v>157</v>
      </c>
      <c r="C58" s="259"/>
      <c r="D58" s="27"/>
      <c r="E58" s="27"/>
      <c r="F58" s="27"/>
      <c r="G58" s="27"/>
      <c r="H58" s="27"/>
      <c r="I58" s="27"/>
      <c r="J58" s="28"/>
      <c r="K58" s="257">
        <f t="shared" ref="K58:L58" si="18">SUM(K48:K57)</f>
        <v>269.2248521</v>
      </c>
      <c r="L58" s="257">
        <f t="shared" si="18"/>
        <v>370.3195266</v>
      </c>
    </row>
  </sheetData>
  <mergeCells count="25">
    <mergeCell ref="B4:L4"/>
    <mergeCell ref="B6:B7"/>
    <mergeCell ref="C6:C7"/>
    <mergeCell ref="B8:B9"/>
    <mergeCell ref="C8:C9"/>
    <mergeCell ref="B10:B12"/>
    <mergeCell ref="B13:B15"/>
    <mergeCell ref="B16:B18"/>
    <mergeCell ref="B26:L26"/>
    <mergeCell ref="B28:B29"/>
    <mergeCell ref="C28:C29"/>
    <mergeCell ref="B30:B31"/>
    <mergeCell ref="C30:C31"/>
    <mergeCell ref="B32:B34"/>
    <mergeCell ref="B50:B51"/>
    <mergeCell ref="B52:B54"/>
    <mergeCell ref="B55:B57"/>
    <mergeCell ref="C58:J58"/>
    <mergeCell ref="B35:B37"/>
    <mergeCell ref="B38:B40"/>
    <mergeCell ref="C41:J41"/>
    <mergeCell ref="B46:L46"/>
    <mergeCell ref="B48:B49"/>
    <mergeCell ref="C48:C49"/>
    <mergeCell ref="C50:C5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8.43"/>
    <col customWidth="1" min="4" max="4" width="18.14"/>
    <col customWidth="1" min="5" max="5" width="19.71"/>
    <col customWidth="1" min="6" max="6" width="24.14"/>
    <col customWidth="1" min="7" max="7" width="10.71"/>
    <col customWidth="1" min="8" max="8" width="17.86"/>
    <col customWidth="1" min="9" max="9" width="12.29"/>
    <col customWidth="1" min="10" max="26" width="10.71"/>
  </cols>
  <sheetData>
    <row r="3">
      <c r="B3" s="260" t="s">
        <v>202</v>
      </c>
      <c r="C3" s="12"/>
      <c r="D3" s="12"/>
      <c r="E3" s="12"/>
      <c r="F3" s="12"/>
      <c r="G3" s="12"/>
      <c r="H3" s="12"/>
      <c r="I3" s="13"/>
    </row>
    <row r="4">
      <c r="B4" s="261"/>
      <c r="C4" s="261"/>
      <c r="D4" s="261"/>
      <c r="E4" s="261"/>
      <c r="F4" s="261"/>
      <c r="G4" s="261"/>
      <c r="H4" s="261"/>
      <c r="I4" s="261"/>
    </row>
    <row r="5">
      <c r="B5" s="261"/>
      <c r="C5" s="261"/>
      <c r="D5" s="261"/>
      <c r="E5" s="261"/>
      <c r="F5" s="261"/>
      <c r="G5" s="261"/>
      <c r="H5" s="261"/>
      <c r="I5" s="261"/>
    </row>
    <row r="6">
      <c r="B6" s="262" t="s">
        <v>203</v>
      </c>
      <c r="C6" s="263" t="s">
        <v>204</v>
      </c>
      <c r="D6" s="264" t="s">
        <v>205</v>
      </c>
      <c r="E6" s="265" t="s">
        <v>206</v>
      </c>
      <c r="F6" s="266" t="s">
        <v>207</v>
      </c>
      <c r="G6" s="261"/>
      <c r="H6" s="267" t="s">
        <v>208</v>
      </c>
      <c r="I6" s="268">
        <v>0.1</v>
      </c>
    </row>
    <row r="7">
      <c r="B7" s="269">
        <v>0.0</v>
      </c>
      <c r="C7" s="270">
        <f>'Costeo General'!K23</f>
        <v>465.5502959</v>
      </c>
      <c r="D7" s="270">
        <v>0.0</v>
      </c>
      <c r="E7" s="270">
        <f t="shared" ref="E7:E12" si="1">D7-C7</f>
        <v>-465.5502959</v>
      </c>
      <c r="F7" s="271"/>
      <c r="G7" s="261"/>
      <c r="H7" s="267" t="s">
        <v>209</v>
      </c>
      <c r="I7" s="272">
        <f>I6/12</f>
        <v>0.008333333333</v>
      </c>
      <c r="L7" s="31">
        <v>3.38</v>
      </c>
    </row>
    <row r="8">
      <c r="B8" s="269">
        <v>1.0</v>
      </c>
      <c r="C8" s="270">
        <f>'Costeo General'!K50</f>
        <v>718.6766864</v>
      </c>
      <c r="D8" s="270">
        <v>0.0</v>
      </c>
      <c r="E8" s="270">
        <f t="shared" si="1"/>
        <v>-718.6766864</v>
      </c>
      <c r="F8" s="270">
        <f>E8</f>
        <v>-718.6766864</v>
      </c>
      <c r="G8" s="261"/>
      <c r="H8" s="261"/>
      <c r="I8" s="261"/>
    </row>
    <row r="9">
      <c r="B9" s="269">
        <v>2.0</v>
      </c>
      <c r="C9" s="270">
        <f>'Costeo General'!K78</f>
        <v>3266.781065</v>
      </c>
      <c r="D9" s="270">
        <v>0.0</v>
      </c>
      <c r="E9" s="270">
        <f t="shared" si="1"/>
        <v>-3266.781065</v>
      </c>
      <c r="F9" s="270">
        <f>SUM(E8:E9)</f>
        <v>-3985.457751</v>
      </c>
      <c r="G9" s="261"/>
      <c r="H9" s="261"/>
      <c r="I9" s="261"/>
    </row>
    <row r="10">
      <c r="B10" s="269">
        <v>3.0</v>
      </c>
      <c r="C10" s="270">
        <f>Proyeccion!L22</f>
        <v>603.5266272</v>
      </c>
      <c r="D10" s="270">
        <v>0.0</v>
      </c>
      <c r="E10" s="270">
        <f t="shared" si="1"/>
        <v>-603.5266272</v>
      </c>
      <c r="F10" s="270">
        <f>SUM(E8:E10)</f>
        <v>-4588.984379</v>
      </c>
      <c r="G10" s="261"/>
      <c r="H10" s="261"/>
      <c r="I10" s="261"/>
      <c r="K10" s="31">
        <v>30.0</v>
      </c>
      <c r="L10" s="31">
        <f>J14/L7</f>
        <v>2.625958475</v>
      </c>
    </row>
    <row r="11">
      <c r="B11" s="269">
        <v>4.0</v>
      </c>
      <c r="C11" s="270">
        <f>Proyeccion!L41</f>
        <v>527.6449704</v>
      </c>
      <c r="D11" s="270">
        <v>0.0</v>
      </c>
      <c r="E11" s="270">
        <f t="shared" si="1"/>
        <v>-527.6449704</v>
      </c>
      <c r="F11" s="270">
        <f>SUM(E8:E11)</f>
        <v>-5116.629349</v>
      </c>
      <c r="G11" s="261"/>
      <c r="H11" s="261"/>
      <c r="I11" s="273"/>
    </row>
    <row r="12">
      <c r="B12" s="269">
        <v>6.0</v>
      </c>
      <c r="C12" s="270">
        <f>Proyeccion!L58</f>
        <v>370.3195266</v>
      </c>
      <c r="D12" s="270">
        <f>G22*I22</f>
        <v>9200</v>
      </c>
      <c r="E12" s="270">
        <f t="shared" si="1"/>
        <v>8829.680473</v>
      </c>
      <c r="F12" s="270">
        <f>SUM(E8:E12)</f>
        <v>3713.051124</v>
      </c>
      <c r="G12" s="261"/>
      <c r="H12" s="261"/>
      <c r="I12" s="273"/>
    </row>
    <row r="13">
      <c r="B13" s="274" t="s">
        <v>210</v>
      </c>
      <c r="C13" s="275">
        <f t="shared" ref="C13:D13" si="2">SUM(C7:C12)</f>
        <v>5952.499172</v>
      </c>
      <c r="D13" s="275">
        <f t="shared" si="2"/>
        <v>9200</v>
      </c>
      <c r="E13" s="261"/>
      <c r="F13" s="261"/>
      <c r="G13" s="261"/>
      <c r="H13" s="261"/>
      <c r="I13" s="261"/>
    </row>
    <row r="14">
      <c r="B14" s="261"/>
      <c r="C14" s="273"/>
      <c r="D14" s="273"/>
      <c r="E14" s="261"/>
      <c r="F14" s="261"/>
      <c r="G14" s="261"/>
      <c r="H14" s="261"/>
      <c r="I14" s="261" t="s">
        <v>211</v>
      </c>
      <c r="J14" s="31">
        <f>K10/L7</f>
        <v>8.875739645</v>
      </c>
    </row>
    <row r="15">
      <c r="B15" s="261"/>
      <c r="C15" s="276"/>
      <c r="D15" s="261"/>
      <c r="E15" s="261"/>
      <c r="F15" s="261"/>
      <c r="G15" s="261"/>
      <c r="H15" s="261"/>
      <c r="I15" s="261">
        <f>'HOJA BASICA'!C8</f>
        <v>15000</v>
      </c>
      <c r="J15" s="31" t="s">
        <v>212</v>
      </c>
    </row>
    <row r="16">
      <c r="B16" s="277"/>
      <c r="C16" s="278"/>
      <c r="D16" s="279"/>
      <c r="E16" s="261"/>
      <c r="F16" s="261"/>
      <c r="G16" s="280"/>
      <c r="H16" s="261"/>
      <c r="I16" s="261"/>
    </row>
    <row r="17">
      <c r="B17" s="261"/>
      <c r="C17" s="276"/>
      <c r="D17" s="261"/>
      <c r="E17" s="261"/>
      <c r="F17" s="261"/>
      <c r="G17" s="261"/>
      <c r="H17" s="261"/>
      <c r="I17" s="261">
        <f>(I15*J14)</f>
        <v>133136.0947</v>
      </c>
    </row>
    <row r="18">
      <c r="B18" s="281">
        <f>IRR(E7:E12)</f>
        <v>0.1611457994</v>
      </c>
      <c r="C18" s="282" t="s">
        <v>213</v>
      </c>
      <c r="D18" s="279"/>
      <c r="E18" s="261"/>
      <c r="F18" s="261"/>
      <c r="G18" s="261"/>
      <c r="H18" s="261"/>
      <c r="I18" s="261"/>
    </row>
    <row r="19">
      <c r="B19" s="283"/>
      <c r="C19" s="284"/>
      <c r="D19" s="284"/>
      <c r="E19" s="261"/>
      <c r="F19" s="261"/>
      <c r="G19" s="261"/>
      <c r="H19" s="261"/>
      <c r="I19" s="261"/>
    </row>
    <row r="20">
      <c r="B20" s="285">
        <f t="array" ref="B20">NPV(I7,E8:E12)+E7</f>
        <v>2980.399797</v>
      </c>
      <c r="C20" s="286" t="s">
        <v>214</v>
      </c>
      <c r="D20" s="287"/>
      <c r="E20" s="261"/>
      <c r="F20" s="261"/>
      <c r="G20" s="261"/>
      <c r="H20" s="261"/>
      <c r="I20" s="280"/>
    </row>
    <row r="21" ht="15.75" customHeight="1">
      <c r="B21" s="283"/>
      <c r="C21" s="284"/>
      <c r="D21" s="284"/>
      <c r="E21" s="261"/>
      <c r="F21" s="261"/>
      <c r="G21" s="261"/>
      <c r="H21" s="261"/>
      <c r="I21" s="280">
        <v>1.0</v>
      </c>
      <c r="J21" s="251">
        <v>3.38</v>
      </c>
    </row>
    <row r="22" ht="15.75" customHeight="1">
      <c r="B22" s="285">
        <f t="array" ref="B22">((NPV(I7,E8:E12))/-E7)</f>
        <v>7.401885732</v>
      </c>
      <c r="C22" s="286" t="s">
        <v>215</v>
      </c>
      <c r="D22" s="287"/>
      <c r="E22" s="261"/>
      <c r="F22" s="261"/>
      <c r="G22" s="280">
        <v>10000.0</v>
      </c>
      <c r="H22" s="261"/>
      <c r="I22" s="280">
        <v>0.92</v>
      </c>
      <c r="J22" s="251">
        <v>3.5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I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17.86"/>
    <col customWidth="1" min="14" max="14" width="10.71"/>
    <col customWidth="1" min="15" max="15" width="13.43"/>
    <col customWidth="1" min="16" max="26" width="10.71"/>
  </cols>
  <sheetData>
    <row r="1">
      <c r="A1" s="288"/>
    </row>
    <row r="2">
      <c r="E2" s="289" t="s">
        <v>216</v>
      </c>
      <c r="F2" s="290" t="s">
        <v>217</v>
      </c>
      <c r="G2" s="291"/>
      <c r="H2" s="292" t="s">
        <v>218</v>
      </c>
      <c r="I2" s="292" t="s">
        <v>219</v>
      </c>
      <c r="J2" s="292" t="s">
        <v>220</v>
      </c>
      <c r="K2" s="292" t="s">
        <v>221</v>
      </c>
    </row>
    <row r="3">
      <c r="E3" s="293">
        <v>1.0</v>
      </c>
      <c r="F3" s="294" t="s">
        <v>222</v>
      </c>
      <c r="G3" s="291"/>
      <c r="H3" s="295">
        <v>36.259</v>
      </c>
      <c r="I3" s="295">
        <v>0.036259</v>
      </c>
      <c r="J3" s="295">
        <v>0.254</v>
      </c>
      <c r="K3" s="295">
        <v>12.691</v>
      </c>
      <c r="M3" s="296" t="s">
        <v>223</v>
      </c>
      <c r="O3" s="296" t="s">
        <v>224</v>
      </c>
    </row>
    <row r="4" ht="31.5" customHeight="1">
      <c r="E4" s="297"/>
      <c r="F4" s="294" t="s">
        <v>225</v>
      </c>
      <c r="G4" s="291"/>
      <c r="H4" s="295">
        <v>4.918</v>
      </c>
      <c r="I4" s="295">
        <v>0.004918</v>
      </c>
      <c r="J4" s="295">
        <v>0.034</v>
      </c>
      <c r="K4" s="295">
        <v>1.721</v>
      </c>
      <c r="M4" s="298">
        <f>SUM(K3:K5)</f>
        <v>31.239</v>
      </c>
      <c r="O4" s="298">
        <f>1000/M4</f>
        <v>32.01126797</v>
      </c>
    </row>
    <row r="5">
      <c r="E5" s="299"/>
      <c r="F5" s="294" t="s">
        <v>226</v>
      </c>
      <c r="G5" s="291"/>
      <c r="H5" s="295">
        <v>48.077</v>
      </c>
      <c r="I5" s="295">
        <v>0.048077</v>
      </c>
      <c r="J5" s="295">
        <v>0.337</v>
      </c>
      <c r="K5" s="295">
        <v>16.827</v>
      </c>
      <c r="O5" s="160"/>
    </row>
    <row r="6" ht="31.5" customHeight="1">
      <c r="E6" s="300">
        <v>2.0</v>
      </c>
      <c r="F6" s="294" t="s">
        <v>227</v>
      </c>
      <c r="G6" s="291"/>
      <c r="H6" s="295">
        <v>37.5</v>
      </c>
      <c r="I6" s="295">
        <v>0.0375</v>
      </c>
      <c r="J6" s="295">
        <v>0.263</v>
      </c>
      <c r="K6" s="295">
        <v>13.125</v>
      </c>
      <c r="M6" s="301" t="s">
        <v>228</v>
      </c>
      <c r="N6" s="298">
        <f>((10000*M4)/88)/1000</f>
        <v>3.549886364</v>
      </c>
      <c r="O6" s="160"/>
    </row>
    <row r="7">
      <c r="E7" s="297"/>
      <c r="F7" s="294" t="s">
        <v>229</v>
      </c>
      <c r="G7" s="291"/>
      <c r="H7" s="295">
        <v>0.4</v>
      </c>
      <c r="I7" s="295">
        <v>4.0E-4</v>
      </c>
      <c r="J7" s="295">
        <v>0.003</v>
      </c>
      <c r="K7" s="295">
        <v>0.14</v>
      </c>
      <c r="O7" s="160"/>
    </row>
    <row r="8" ht="31.5" customHeight="1">
      <c r="E8" s="297"/>
      <c r="F8" s="294" t="s">
        <v>230</v>
      </c>
      <c r="G8" s="291"/>
      <c r="H8" s="295">
        <v>2.581</v>
      </c>
      <c r="I8" s="295">
        <v>0.002581</v>
      </c>
      <c r="J8" s="295">
        <v>0.018</v>
      </c>
      <c r="K8" s="295">
        <v>0.903</v>
      </c>
      <c r="M8" s="302" t="s">
        <v>231</v>
      </c>
      <c r="O8" s="303" t="s">
        <v>232</v>
      </c>
    </row>
    <row r="9">
      <c r="E9" s="299"/>
      <c r="F9" s="294" t="s">
        <v>233</v>
      </c>
      <c r="G9" s="291"/>
      <c r="H9" s="295">
        <v>0.698</v>
      </c>
      <c r="I9" s="295">
        <v>6.98E-4</v>
      </c>
      <c r="J9" s="295">
        <v>0.005</v>
      </c>
      <c r="K9" s="295">
        <v>0.244</v>
      </c>
      <c r="M9" s="304">
        <f>SUM(K6:K9)</f>
        <v>14.412</v>
      </c>
      <c r="O9" s="305">
        <f>1000/M9</f>
        <v>69.38662226</v>
      </c>
    </row>
    <row r="10">
      <c r="E10" s="306">
        <v>3.0</v>
      </c>
      <c r="F10" s="294" t="s">
        <v>234</v>
      </c>
      <c r="G10" s="291"/>
      <c r="H10" s="295">
        <v>4.571</v>
      </c>
      <c r="I10" s="295">
        <v>0.004571</v>
      </c>
      <c r="J10" s="295">
        <v>0.032</v>
      </c>
      <c r="K10" s="295">
        <v>1.6</v>
      </c>
      <c r="O10" s="160"/>
    </row>
    <row r="11">
      <c r="E11" s="307">
        <v>4.0</v>
      </c>
      <c r="F11" s="294" t="s">
        <v>235</v>
      </c>
      <c r="G11" s="291"/>
      <c r="H11" s="295">
        <v>75.472</v>
      </c>
      <c r="I11" s="295">
        <v>0.075472</v>
      </c>
      <c r="J11" s="295">
        <v>0.528</v>
      </c>
      <c r="K11" s="295">
        <v>26.415</v>
      </c>
      <c r="M11" s="308" t="s">
        <v>228</v>
      </c>
      <c r="N11" s="256">
        <f>((10000*M9)/88)/1000</f>
        <v>1.637727273</v>
      </c>
      <c r="O11" s="160"/>
    </row>
    <row r="14">
      <c r="M14" s="309" t="s">
        <v>236</v>
      </c>
      <c r="O14" s="310" t="s">
        <v>232</v>
      </c>
    </row>
    <row r="15">
      <c r="M15" s="256">
        <f>SUM(K10:K11)</f>
        <v>28.015</v>
      </c>
      <c r="O15" s="256">
        <f>1000/M15</f>
        <v>35.69516331</v>
      </c>
    </row>
    <row r="17">
      <c r="M17" s="311" t="s">
        <v>228</v>
      </c>
      <c r="N17" s="256">
        <f>((10000*M15)/88)/1000</f>
        <v>3.183522727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G7"/>
    <mergeCell ref="F8:G8"/>
    <mergeCell ref="F9:G9"/>
    <mergeCell ref="F10:G10"/>
    <mergeCell ref="F11:G11"/>
    <mergeCell ref="F2:G2"/>
    <mergeCell ref="E3:E5"/>
    <mergeCell ref="F3:G3"/>
    <mergeCell ref="F4:G4"/>
    <mergeCell ref="F5:G5"/>
    <mergeCell ref="E6:E9"/>
    <mergeCell ref="F6:G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2025-11-06T01:20:36Z</dcterms:created>
  <dc:creator>Dany</dc:creator>
</cp:coreProperties>
</file>